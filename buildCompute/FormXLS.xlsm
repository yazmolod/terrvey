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ина\Desktop\python and more\ВОР\"/>
    </mc:Choice>
  </mc:AlternateContent>
  <bookViews>
    <workbookView xWindow="0" yWindow="0" windowWidth="25135" windowHeight="9727" activeTab="2"/>
  </bookViews>
  <sheets>
    <sheet name="Начало" sheetId="155" r:id="rId1"/>
    <sheet name="Реквизиты" sheetId="547" r:id="rId2"/>
    <sheet name="Данные" sheetId="203" r:id="rId3"/>
    <sheet name="Печать" sheetId="606" r:id="rId4"/>
  </sheets>
  <definedNames>
    <definedName name="VC_ГИП">Реквизиты!$C$11</definedName>
    <definedName name="VC_ГЛСПЕЦ">Реквизиты!$C$8</definedName>
    <definedName name="VC_ЗАКАЗЧИК">Реквизиты!$G$3</definedName>
    <definedName name="VC_НАИМЕНОВАНИЕПРОЕКТА">Реквизиты!$G$6</definedName>
    <definedName name="VC_НАИМЕНОВАНИЕЧЕРТЕЖА">Реквизиты!$G$9</definedName>
    <definedName name="VC_НАЧОТД">Реквизиты!$C$9</definedName>
    <definedName name="VC_НКОНТР">Реквизиты!$C$10</definedName>
    <definedName name="VC_РАЗРАБОТАЛ">Реквизиты!$C$6</definedName>
    <definedName name="VC_РЕВИЗИЯ">Реквизиты!$K$2</definedName>
    <definedName name="VC_РУКГРУППЫ">Реквизиты!$C$7</definedName>
    <definedName name="VC_СТАДИЯ">Реквизиты!$H$7</definedName>
    <definedName name="VC_ШИФР2">Реквизиты!$G$1</definedName>
    <definedName name="БШ_ГИП" localSheetId="1">Реквизиты!$C$11</definedName>
    <definedName name="БШ_ГлСпец" localSheetId="1">Реквизиты!$C$8</definedName>
    <definedName name="БШ_ДокИмя" localSheetId="1">Реквизиты!$G$9</definedName>
    <definedName name="БШ_ДокШифр" localSheetId="1">Реквизиты!$G$1</definedName>
    <definedName name="БШ_ЗаказчикИмя" localSheetId="1">Реквизиты!$G$3</definedName>
    <definedName name="БШ_Изм1" localSheetId="1">Реквизиты!$A$1</definedName>
    <definedName name="БШ_Изм2" localSheetId="1">Реквизиты!$A$2</definedName>
    <definedName name="БШ_Изм3" localSheetId="1">Реквизиты!$A$3</definedName>
    <definedName name="БШ_Изм4" localSheetId="1">Реквизиты!$A$4</definedName>
    <definedName name="БШ_ИзмДата1" localSheetId="1">Реквизиты!$F$1</definedName>
    <definedName name="БШ_ИзмДата2" localSheetId="1">Реквизиты!$F$2</definedName>
    <definedName name="БШ_ИзмДата3" localSheetId="1">Реквизиты!$F$3</definedName>
    <definedName name="БШ_ИзмДата4" localSheetId="1">Реквизиты!$F$4</definedName>
    <definedName name="БШ_ИзмДок1" localSheetId="1">Реквизиты!$D$1</definedName>
    <definedName name="БШ_ИзмДок2" localSheetId="1">Реквизиты!$D$2</definedName>
    <definedName name="БШ_ИзмДок3" localSheetId="1">Реквизиты!$D$3</definedName>
    <definedName name="БШ_ИзмДок4" localSheetId="1">Реквизиты!$D$4</definedName>
    <definedName name="БШ_ИзмКол1" localSheetId="1">Реквизиты!$B$1</definedName>
    <definedName name="БШ_ИзмКол2" localSheetId="1">Реквизиты!$B$2</definedName>
    <definedName name="БШ_ИзмКол3" localSheetId="1">Реквизиты!$B$3</definedName>
    <definedName name="БШ_ИзмКол4" localSheetId="1">Реквизиты!$B$4</definedName>
    <definedName name="БШ_ИзмЛист1" localSheetId="1">Реквизиты!$C$1</definedName>
    <definedName name="БШ_ИзмЛист2" localSheetId="1">Реквизиты!$C$2</definedName>
    <definedName name="БШ_ИзмЛист3" localSheetId="1">Реквизиты!$C$3</definedName>
    <definedName name="БШ_ИзмЛист4" localSheetId="1">Реквизиты!$C$4</definedName>
    <definedName name="БШ_ИзмПодп1" localSheetId="1">Реквизиты!$E$1</definedName>
    <definedName name="БШ_ИзмПодп2" localSheetId="1">Реквизиты!$E$2</definedName>
    <definedName name="БШ_ИзмПодп3" localSheetId="1">Реквизиты!$E$3</definedName>
    <definedName name="БШ_ИзмПодп4" localSheetId="1">Реквизиты!$E$4</definedName>
    <definedName name="БШ_Компания1Название" localSheetId="1">Реквизиты!$H$9</definedName>
    <definedName name="БШ_Лист" localSheetId="1">Реквизиты!$I$7</definedName>
    <definedName name="БШ_Листов" localSheetId="1">Реквизиты!$J$7</definedName>
    <definedName name="БШ_НачОтд" localSheetId="1">Реквизиты!$C$9</definedName>
    <definedName name="БШ_Нконтр" localSheetId="1">Реквизиты!$C$10</definedName>
    <definedName name="БШ_Подпись1Дата" localSheetId="1">Реквизиты!$F$6</definedName>
    <definedName name="БШ_Подпись1Роль" localSheetId="1">Реквизиты!$A$6</definedName>
    <definedName name="БШ_Подпись2Дата" localSheetId="1">Реквизиты!$F$7</definedName>
    <definedName name="БШ_Подпись2Роль" localSheetId="1">Реквизиты!$A$7</definedName>
    <definedName name="БШ_Подпись3Дата" localSheetId="1">Реквизиты!$F$8</definedName>
    <definedName name="БШ_Подпись3Роль" localSheetId="1">Реквизиты!$A$8</definedName>
    <definedName name="БШ_Подпись4Дата" localSheetId="1">Реквизиты!$F$9</definedName>
    <definedName name="БШ_Подпись4Роль" localSheetId="1">Реквизиты!$A$9</definedName>
    <definedName name="БШ_Подпись5Дата" localSheetId="1">Реквизиты!$F$10</definedName>
    <definedName name="БШ_Подпись5Роль" localSheetId="1">Реквизиты!$A$10</definedName>
    <definedName name="БШ_Подпись6Дата" localSheetId="1">Реквизиты!$F$11</definedName>
    <definedName name="БШ_Подпись6Роль" localSheetId="1">Реквизиты!$A$11</definedName>
    <definedName name="БШ_ПроектИмя" localSheetId="1">Реквизиты!$G$6</definedName>
    <definedName name="БШ_Разраб" localSheetId="1">Реквизиты!$C$6</definedName>
    <definedName name="БШ_Ревизия" localSheetId="1">Реквизиты!$K$2</definedName>
    <definedName name="БШ_РукГруп" localSheetId="1">Реквизиты!$C$7</definedName>
    <definedName name="БШ_Стадия" localSheetId="1">Реквизиты!$H$7</definedName>
    <definedName name="_xlnm.Print_Titles" localSheetId="3">Печать!$1:$1</definedName>
    <definedName name="МШ_ДокШифр" localSheetId="1">Реквизиты!$G$16</definedName>
    <definedName name="МШ_Лист" localSheetId="1">Реквизиты!$I$7</definedName>
    <definedName name="МШ_Ревизия" localSheetId="1">Реквизиты!$K$2</definedName>
    <definedName name="_xlnm.Print_Area" localSheetId="3">Печать!$A$1:$E$203</definedName>
    <definedName name="Параметры_РевизияВкл">Реквизиты!$N$2</definedName>
    <definedName name="ТаблицаВедомость" localSheetId="2">Данные!$A$1:$E$193</definedName>
  </definedNames>
  <calcPr calcId="162913" refMode="R1C1"/>
</workbook>
</file>

<file path=xl/calcChain.xml><?xml version="1.0" encoding="utf-8"?>
<calcChain xmlns="http://schemas.openxmlformats.org/spreadsheetml/2006/main">
  <c r="E201" i="606" l="1"/>
  <c r="E200" i="606"/>
  <c r="E199" i="606"/>
  <c r="E198" i="606"/>
  <c r="E197" i="606"/>
  <c r="E196" i="606"/>
  <c r="E194" i="606"/>
  <c r="E193" i="606"/>
  <c r="E191" i="606"/>
  <c r="E192" i="606" s="1"/>
  <c r="E189" i="606"/>
  <c r="E190" i="606" s="1"/>
  <c r="E186" i="606"/>
  <c r="E185" i="606"/>
  <c r="E184" i="606"/>
  <c r="E183" i="606"/>
  <c r="E181" i="606"/>
  <c r="E182" i="606" s="1"/>
  <c r="E180" i="606"/>
  <c r="E179" i="606"/>
  <c r="E176" i="606"/>
  <c r="E175" i="606"/>
  <c r="E174" i="606"/>
  <c r="E173" i="606"/>
  <c r="E170" i="606"/>
  <c r="E172" i="606" s="1"/>
  <c r="E168" i="606"/>
  <c r="E169" i="606" s="1"/>
  <c r="E165" i="606"/>
  <c r="E164" i="606"/>
  <c r="E163" i="606"/>
  <c r="E162" i="606"/>
  <c r="E161" i="606"/>
  <c r="E160" i="606"/>
  <c r="E158" i="606"/>
  <c r="E159" i="606" s="1"/>
  <c r="E156" i="606"/>
  <c r="E157" i="606" s="1"/>
  <c r="E153" i="606"/>
  <c r="E152" i="606"/>
  <c r="E151" i="606"/>
  <c r="E149" i="606"/>
  <c r="E150" i="606" s="1"/>
  <c r="E147" i="606"/>
  <c r="E148" i="606" s="1"/>
  <c r="E143" i="606"/>
  <c r="E142" i="606"/>
  <c r="E141" i="606"/>
  <c r="E140" i="606"/>
  <c r="E139" i="606"/>
  <c r="E138" i="606"/>
  <c r="E137" i="606"/>
  <c r="E136" i="606"/>
  <c r="E134" i="606"/>
  <c r="E135" i="606" s="1"/>
  <c r="E132" i="606"/>
  <c r="E133" i="606" s="1"/>
  <c r="E129" i="606"/>
  <c r="E128" i="606" s="1"/>
  <c r="E127" i="606"/>
  <c r="E126" i="606"/>
  <c r="E125" i="606"/>
  <c r="E124" i="606"/>
  <c r="E122" i="606"/>
  <c r="E123" i="606" s="1"/>
  <c r="E119" i="606"/>
  <c r="E121" i="606" s="1"/>
  <c r="E116" i="606"/>
  <c r="E115" i="606" s="1"/>
  <c r="E114" i="606"/>
  <c r="E113" i="606"/>
  <c r="E112" i="606"/>
  <c r="E111" i="606"/>
  <c r="E110" i="606"/>
  <c r="E109" i="606"/>
  <c r="E107" i="606"/>
  <c r="E108" i="606" s="1"/>
  <c r="E105" i="606"/>
  <c r="E106" i="606" s="1"/>
  <c r="E102" i="606"/>
  <c r="E101" i="606"/>
  <c r="E100" i="606"/>
  <c r="E99" i="606"/>
  <c r="E98" i="606"/>
  <c r="E97" i="606"/>
  <c r="E96" i="606"/>
  <c r="E94" i="606"/>
  <c r="E92" i="606"/>
  <c r="E93" i="606" s="1"/>
  <c r="E90" i="606"/>
  <c r="E91" i="606" s="1"/>
  <c r="E87" i="606"/>
  <c r="E86" i="606"/>
  <c r="E85" i="606"/>
  <c r="E84" i="606"/>
  <c r="E83" i="606"/>
  <c r="E82" i="606"/>
  <c r="E81" i="606"/>
  <c r="E80" i="606"/>
  <c r="E78" i="606"/>
  <c r="E79" i="606" s="1"/>
  <c r="E76" i="606"/>
  <c r="E77" i="606" s="1"/>
  <c r="E73" i="606"/>
  <c r="E72" i="606"/>
  <c r="E71" i="606"/>
  <c r="E69" i="606"/>
  <c r="E68" i="606"/>
  <c r="E67" i="606"/>
  <c r="E66" i="606"/>
  <c r="E65" i="606"/>
  <c r="E63" i="606"/>
  <c r="E64" i="606" s="1"/>
  <c r="E61" i="606"/>
  <c r="E62" i="606" s="1"/>
  <c r="E58" i="606"/>
  <c r="E57" i="606" s="1"/>
  <c r="E56" i="606"/>
  <c r="E55" i="606"/>
  <c r="E54" i="606"/>
  <c r="E53" i="606"/>
  <c r="E52" i="606"/>
  <c r="E51" i="606"/>
  <c r="E49" i="606"/>
  <c r="E50" i="606" s="1"/>
  <c r="E47" i="606"/>
  <c r="E48" i="606" s="1"/>
  <c r="E43" i="606"/>
  <c r="E42" i="606"/>
  <c r="E41" i="606"/>
  <c r="E40" i="606"/>
  <c r="E39" i="606"/>
  <c r="E38" i="606"/>
  <c r="E37" i="606"/>
  <c r="E36" i="606"/>
  <c r="E34" i="606"/>
  <c r="E35" i="606" s="1"/>
  <c r="E32" i="606"/>
  <c r="E33" i="606" s="1"/>
  <c r="E29" i="606"/>
  <c r="E28" i="606"/>
  <c r="E27" i="606"/>
  <c r="E26" i="606"/>
  <c r="E25" i="606"/>
  <c r="E24" i="606"/>
  <c r="E23" i="606"/>
  <c r="E22" i="606"/>
  <c r="E19" i="606"/>
  <c r="E21" i="606" s="1"/>
  <c r="E17" i="606"/>
  <c r="E18" i="606" s="1"/>
  <c r="E8" i="606"/>
  <c r="E7" i="606"/>
  <c r="E6" i="606"/>
  <c r="E10" i="606" l="1"/>
  <c r="E11" i="606" l="1"/>
  <c r="E12" i="606" s="1"/>
  <c r="E13" i="606"/>
  <c r="G16" i="547" l="1"/>
</calcChain>
</file>

<file path=xl/sharedStrings.xml><?xml version="1.0" encoding="utf-8"?>
<sst xmlns="http://schemas.openxmlformats.org/spreadsheetml/2006/main" count="445" uniqueCount="155">
  <si>
    <t>Поле справа не редактировать! Только для установки размера шрифта в малом штампе.</t>
  </si>
  <si>
    <t>Изм.</t>
  </si>
  <si>
    <t>Кол.уч</t>
  </si>
  <si>
    <t>Лист</t>
  </si>
  <si>
    <t>№док.</t>
  </si>
  <si>
    <t>Дата</t>
  </si>
  <si>
    <t>Стадия</t>
  </si>
  <si>
    <t>Листов</t>
  </si>
  <si>
    <t>Общая схема работы с шаблоном:</t>
  </si>
  <si>
    <t>Р</t>
  </si>
  <si>
    <t>Коли-
чество</t>
  </si>
  <si>
    <t>1</t>
  </si>
  <si>
    <t>3</t>
  </si>
  <si>
    <t>4</t>
  </si>
  <si>
    <t>Формат</t>
  </si>
  <si>
    <t>Разделение печатной формы на листы производится с учетом высоты строк с данными.
Высота строк данных подбирается автоматически по содержимому строки.
Минимальная высота строки 0,8 см.</t>
  </si>
  <si>
    <r>
      <t xml:space="preserve">Печатная форма создается только из информации в именованном диапазоне </t>
    </r>
    <r>
      <rPr>
        <b/>
        <sz val="10"/>
        <color indexed="8"/>
        <rFont val="Arial"/>
        <family val="2"/>
        <charset val="204"/>
      </rPr>
      <t>ТаблицаВедомость</t>
    </r>
    <r>
      <rPr>
        <sz val="10"/>
        <color theme="1"/>
        <rFont val="Arial"/>
        <family val="2"/>
        <charset val="204"/>
      </rPr>
      <t xml:space="preserve"> на листе "Данные". Данный диапазон выделен на листе цветом. 
Добавление/удаление строк спецификации на листе "Данные" производится стандартными средствами Excel, но </t>
    </r>
    <r>
      <rPr>
        <b/>
        <sz val="10"/>
        <color indexed="8"/>
        <rFont val="Arial"/>
        <family val="2"/>
        <charset val="204"/>
      </rPr>
      <t xml:space="preserve">только </t>
    </r>
    <r>
      <rPr>
        <sz val="10"/>
        <color theme="1"/>
        <rFont val="Arial"/>
        <family val="2"/>
        <charset val="204"/>
      </rPr>
      <t>внутри этого диапазона.</t>
    </r>
  </si>
  <si>
    <r>
      <t xml:space="preserve">Для вставки принудительного разрыва страницы необходимо на листе "Данные" в первом столбце строки, с которой должен начаться новый лист, вставить слово </t>
    </r>
    <r>
      <rPr>
        <b/>
        <sz val="10"/>
        <color indexed="8"/>
        <rFont val="Arial"/>
        <family val="2"/>
        <charset val="204"/>
      </rPr>
      <t>Раздел</t>
    </r>
    <r>
      <rPr>
        <sz val="10"/>
        <color theme="1"/>
        <rFont val="Arial"/>
        <family val="2"/>
        <charset val="204"/>
      </rPr>
      <t xml:space="preserve"> (информация из первого столбца на лист печати не переносится). 
Изменения будут учтены при следующем формировании листа печати.</t>
    </r>
  </si>
  <si>
    <t>Подпись</t>
  </si>
  <si>
    <t>Информация для заполнения штампов вводится на листе "Реквизиты" (ячейки для ввода выделены цветом). Информация об изменениях помещается только в большой штамп на первой странице листа "Печать".</t>
  </si>
  <si>
    <t>Разраб.</t>
  </si>
  <si>
    <t>Рук. группы</t>
  </si>
  <si>
    <t>Гл. спец</t>
  </si>
  <si>
    <t>Нач. отдела</t>
  </si>
  <si>
    <t>Н.контр.</t>
  </si>
  <si>
    <r>
      <t xml:space="preserve">Проконтролировать размещение строк данных внутри диапазона очень просто с помощью </t>
    </r>
    <r>
      <rPr>
        <b/>
        <sz val="10"/>
        <color indexed="8"/>
        <rFont val="Arial"/>
        <family val="2"/>
        <charset val="204"/>
      </rPr>
      <t>Поля имени в строке формул</t>
    </r>
    <r>
      <rPr>
        <sz val="10"/>
        <color theme="1"/>
        <rFont val="Arial"/>
        <family val="2"/>
        <charset val="204"/>
      </rPr>
      <t xml:space="preserve"> (см. скриншот справа). 
С помощью стрелки в правой части поля нужно раскрыть список имен на листе и выбрать мышкой имя </t>
    </r>
    <r>
      <rPr>
        <b/>
        <sz val="10"/>
        <color indexed="8"/>
        <rFont val="Arial"/>
        <family val="2"/>
        <charset val="204"/>
      </rPr>
      <t>ТаблицаВедомость</t>
    </r>
    <r>
      <rPr>
        <sz val="10"/>
        <color theme="1"/>
        <rFont val="Arial"/>
        <family val="2"/>
        <charset val="204"/>
      </rPr>
      <t>. В результате этой операции на листе будет выделен соответствующий диапазон ячеек. Если строки находятся внутри выделенного диапазона, они будут выводиться в печатную форму. В противном случае новые строки нужно перенести внутрь диапазона (опять же стандартными средствами Excel).
Лишние пустые строки рекомендуется удалять из диапазона, особенно в конце, т.к. в результате может сформироваться лист только с пустыми строками.</t>
    </r>
  </si>
  <si>
    <t>№
п/п</t>
  </si>
  <si>
    <t>Наименование работ</t>
  </si>
  <si>
    <t>Единица
измерения</t>
  </si>
  <si>
    <t>Внимание! При установке в системе Windows масштабирования экранных шрифтов (уменьшение или увеличение) происходит искажение формы печати!
Формирование ведомости для печати и саму печать рекомендуется выполнять только с настройкой по умолчанию (100%).</t>
  </si>
  <si>
    <t>Собственно данные для ведомости содержатся на листе "Данные". 
Вся информация должна вноситься и изменяться только на листе "Данные".</t>
  </si>
  <si>
    <t>Печатная форма со всем необходимым оформлением создается программно на листе "Печать". Для формирования (переформирования) нажмите кнопку "Переформировать лист "Печати". После внесения изменений на листе "Данные" необходимо переформировать печатную форму.</t>
  </si>
  <si>
    <r>
      <t xml:space="preserve">Наименование единицы данных не рекомендуется разрывать между разными строками таблицы. Для длинного наименования высота строки увеличится автоматически и будут выполнены переносы. При необходимости выполнить перенос строки внутри ячейки в конкретном месте используйте сочетание клавиш </t>
    </r>
    <r>
      <rPr>
        <b/>
        <sz val="10"/>
        <color indexed="8"/>
        <rFont val="Arial"/>
        <family val="2"/>
        <charset val="204"/>
      </rPr>
      <t>ALT+ENTER</t>
    </r>
    <r>
      <rPr>
        <sz val="10"/>
        <color theme="1"/>
        <rFont val="Arial"/>
        <family val="2"/>
        <charset val="204"/>
      </rPr>
      <t>.</t>
    </r>
  </si>
  <si>
    <t>Сохранение файла после создания из шаблона рекомендуется выполнять в формате "Книга Excel с поддержкой макросов (*.xlsm)" или "Книга Excel 97-2003 (*.xls)". 
В противном случае макрос формирования листа печати работать не будет.</t>
  </si>
  <si>
    <t>Рев.</t>
  </si>
  <si>
    <t>B01</t>
  </si>
  <si>
    <t>Дополнительные настройки оформления</t>
  </si>
  <si>
    <t>Графа ревизии в основной надписи</t>
  </si>
  <si>
    <t>Нет</t>
  </si>
  <si>
    <t>Версия шаблона 2.01 от 06.11.2018</t>
  </si>
  <si>
    <t>АО
«Самаранефтехимпроект»</t>
  </si>
  <si>
    <t>2</t>
  </si>
  <si>
    <t>Перевозка массовых навалочных грузов, перевозимых автомобилями-самосвалами, расстояние перевозки 25 км: класс груза 1, грузоподъемность 10 т</t>
  </si>
  <si>
    <t>Работа на отвале, группа грунтов: 1</t>
  </si>
  <si>
    <t>м3</t>
  </si>
  <si>
    <t>5</t>
  </si>
  <si>
    <t>6</t>
  </si>
  <si>
    <t>Уплотнение грунта пневматическими трамбовками, группа грунтов: 1-2</t>
  </si>
  <si>
    <t>7</t>
  </si>
  <si>
    <t>Засыпка вручную траншей, пазух котлованов и ям, группа грунтов 1</t>
  </si>
  <si>
    <t>8</t>
  </si>
  <si>
    <t>9</t>
  </si>
  <si>
    <t>10</t>
  </si>
  <si>
    <t>11</t>
  </si>
  <si>
    <t>12</t>
  </si>
  <si>
    <t>т</t>
  </si>
  <si>
    <t>13</t>
  </si>
  <si>
    <t>14</t>
  </si>
  <si>
    <t>Бетон тяжелый, класс: В10 (М150)</t>
  </si>
  <si>
    <t>Ведомость объемов работ</t>
  </si>
  <si>
    <t>Разработка грунта с погрузкой на автомобили-самосвалы в котлованах экскаваторами с ковшом вместимостью 0,65 м3, группа грунтов: 1</t>
  </si>
  <si>
    <t>Устройство подливки толщиной 100 мм</t>
  </si>
  <si>
    <t>м2</t>
  </si>
  <si>
    <t>Устройство бетонной подготовки толщиной 100 мм</t>
  </si>
  <si>
    <t>Засыпка котлованов с перемещением грунта до 5 м бульдозерами мощностью: 96 кВт (130 л.с.), группа грунтов 2</t>
  </si>
  <si>
    <t>Доработка грунта вручную в котлованах глубиной до 2 м без креплений с откосами, с погрузкой на автомобили-самосвалы, группа грунтов: 1</t>
  </si>
  <si>
    <t>Бетон гидротехнический (на сульфатостойком портландцементе), класс: В25 (М350) с W6, F150</t>
  </si>
  <si>
    <t xml:space="preserve"> </t>
  </si>
  <si>
    <t>Фм1 - 8 шт</t>
  </si>
  <si>
    <t>Фм4 - 5 шт</t>
  </si>
  <si>
    <t>Фм3 - 1 шт</t>
  </si>
  <si>
    <t>Фм5 - 1 шт</t>
  </si>
  <si>
    <t>Фм6 - 12 шт</t>
  </si>
  <si>
    <t>Фм7 - 1 шт</t>
  </si>
  <si>
    <t>Фм8 - 9 шт</t>
  </si>
  <si>
    <t>Фм9 - 1 шт</t>
  </si>
  <si>
    <t>Фм10 - 1 шт</t>
  </si>
  <si>
    <t>Фм11 - 3 шт</t>
  </si>
  <si>
    <t>Фм12 - 3 шт</t>
  </si>
  <si>
    <t>Фм13 - 1 шт</t>
  </si>
  <si>
    <t>Фм14 - 1 шт</t>
  </si>
  <si>
    <t>Устройство железобетонных фундаментов</t>
  </si>
  <si>
    <r>
      <t xml:space="preserve">Горячекатаная арматурная сталь гладкая класса А-III (A400), диаметром: </t>
    </r>
    <r>
      <rPr>
        <b/>
        <sz val="11"/>
        <rFont val="Arial"/>
        <family val="2"/>
        <charset val="204"/>
      </rPr>
      <t>18 мм</t>
    </r>
  </si>
  <si>
    <r>
      <t xml:space="preserve">Горячекатаная арматурная сталь гладкая класса А-III (A400), диаметром: </t>
    </r>
    <r>
      <rPr>
        <b/>
        <sz val="11"/>
        <rFont val="Arial"/>
        <family val="2"/>
        <charset val="204"/>
      </rPr>
      <t>14 мм</t>
    </r>
  </si>
  <si>
    <r>
      <t xml:space="preserve">Горячекатаная арматурная сталь гладкая класса А-I (A240), диаметром: </t>
    </r>
    <r>
      <rPr>
        <b/>
        <sz val="11"/>
        <rFont val="Arial"/>
        <family val="2"/>
        <charset val="204"/>
      </rPr>
      <t>8 мм</t>
    </r>
  </si>
  <si>
    <t>Бетон гидротехнический (на сульфатостойком портландцементе), класс:В30 W6 F150</t>
  </si>
  <si>
    <r>
      <t xml:space="preserve">Горячекатаная арматурная сталь гладкая класса А-I (A240), диаметром: </t>
    </r>
    <r>
      <rPr>
        <b/>
        <sz val="11"/>
        <rFont val="Arial"/>
        <family val="2"/>
        <charset val="204"/>
      </rPr>
      <t>10 мм</t>
    </r>
  </si>
  <si>
    <r>
      <t xml:space="preserve">Горячекатаная арматурная сталь гладкая класса А-I (A240), диаметром: </t>
    </r>
    <r>
      <rPr>
        <b/>
        <sz val="11"/>
        <rFont val="Arial"/>
        <family val="2"/>
        <charset val="204"/>
      </rPr>
      <t>12 мм</t>
    </r>
  </si>
  <si>
    <r>
      <t xml:space="preserve">Горячекатаная арматурная сталь гладкая класса А-III (A400), диаметром: </t>
    </r>
    <r>
      <rPr>
        <b/>
        <sz val="11"/>
        <rFont val="Arial"/>
        <family val="2"/>
        <charset val="204"/>
      </rPr>
      <t>16 мм</t>
    </r>
  </si>
  <si>
    <t>Установка закладных деталей весом: более 20 кг  (Анкерный блок Аб1 - 2 шт на 1 фундамент, всего 6 шт)</t>
  </si>
  <si>
    <t>Установка закладных деталей весом: более 20 кг  (Анкерный блок Аб1 - 2 шт на 1 фундамент, всего 16 шт)</t>
  </si>
  <si>
    <t>Установка закладных деталей весом: более 20 кг  (Анкерный блок Аб1 - 6 шт на 1 фундамент, всего 6 шт)</t>
  </si>
  <si>
    <t>Установка закладных деталей весом: более 20 кг  (Анкерный блок Аб1 - 4 шт на 1 фундамент, всего 20 шт)</t>
  </si>
  <si>
    <t>Установка закладных деталей весом: более 20 кг  (Анкерный блок Аб1 - 2 шт на 1 фундамент, всего 2 шт)</t>
  </si>
  <si>
    <t>Установка закладных деталей весом: более 20 кг  (Анкерный блок Аб1 - 2 шт на 1 фундамент, всего 24 шт)</t>
  </si>
  <si>
    <t>Установка закладных деталей весом: более 20 кг  (Анкерный блок Аб1 - 4 шт на 1 фундамент, всего 4 шт)</t>
  </si>
  <si>
    <t>Установка закладных деталей весом: более 20 кг  (Анкерный блок Аб2 - 1 шт на 1 фундамент, всего 9 шт)</t>
  </si>
  <si>
    <r>
      <t xml:space="preserve">Горячекатаная арматурная сталь гладкая класса А-I (A240), диаметром: </t>
    </r>
    <r>
      <rPr>
        <b/>
        <sz val="11"/>
        <rFont val="Arial"/>
        <family val="2"/>
        <charset val="204"/>
      </rPr>
      <t>6 мм</t>
    </r>
  </si>
  <si>
    <t>Установка закладных деталей весом: более 20 кг  (Изделие закладное МН 158-6 - 1 шт на 1 фундамент, всего 1 шт)</t>
  </si>
  <si>
    <r>
      <t xml:space="preserve">Горячекатаная арматурная сталь гладкая класса А-III (A400), диаметром: </t>
    </r>
    <r>
      <rPr>
        <b/>
        <sz val="11"/>
        <rFont val="Arial"/>
        <family val="2"/>
        <charset val="204"/>
      </rPr>
      <t>12 мм</t>
    </r>
  </si>
  <si>
    <t>Установка закладных деталей весом: более 20 кг  (Анкерный блок Аб3 - 1 шт на 1 фундамент, всего 3 шт)</t>
  </si>
  <si>
    <t>Установка закладных деталей весом: более 20 кг  (Изделие закладное МН 132-4 - 1 шт на 1 фундамент, всего 3 шт)</t>
  </si>
  <si>
    <t>Раздел 3. Фундаменты</t>
  </si>
  <si>
    <t>Раздел 2. Земляные работы</t>
  </si>
  <si>
    <t>Раздел 1. Демонтажные работы</t>
  </si>
  <si>
    <t>Демонтаж тумб железобетонных (22 шт, V=0,81 м3 (1шт)) с транспортировкой обломков на расстояние: 26 км</t>
  </si>
  <si>
    <t>Фм2 - 2 шт</t>
  </si>
  <si>
    <t>Песок природный для строительных работ: средней крупности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</si>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</sst>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6" x14ac:knownFonts="1">
    <font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11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4"/>
      <color indexed="8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name val="Arial"/>
      <family val="2"/>
      <charset val="204"/>
    </font>
    <font>
      <sz val="9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CFFF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top" wrapText="1"/>
    </xf>
  </cellStyleXfs>
  <cellXfs count="119">
    <xf numFmtId="0" fontId="0" fillId="0" borderId="0" xfId="0">
      <alignment vertical="top" wrapText="1"/>
    </xf>
    <xf numFmtId="0" fontId="0" fillId="0" borderId="0" xfId="0" applyFont="1">
      <alignment vertical="top" wrapText="1"/>
    </xf>
    <xf numFmtId="0" fontId="4" fillId="0" borderId="1" xfId="0" applyFont="1" applyBorder="1" applyAlignment="1">
      <alignment horizontal="center" vertical="center"/>
    </xf>
    <xf numFmtId="0" fontId="7" fillId="0" borderId="0" xfId="0" applyFont="1">
      <alignment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vertical="top"/>
    </xf>
    <xf numFmtId="0" fontId="9" fillId="0" borderId="0" xfId="0" applyFont="1">
      <alignment vertical="top" wrapText="1"/>
    </xf>
    <xf numFmtId="0" fontId="4" fillId="0" borderId="1" xfId="0" applyFont="1" applyBorder="1" applyAlignment="1">
      <alignment horizontal="center" vertical="center" wrapText="1"/>
    </xf>
    <xf numFmtId="0" fontId="10" fillId="0" borderId="0" xfId="0" applyFont="1">
      <alignment vertical="top" wrapText="1"/>
    </xf>
    <xf numFmtId="49" fontId="4" fillId="4" borderId="1" xfId="0" applyNumberFormat="1" applyFont="1" applyFill="1" applyBorder="1" applyAlignment="1">
      <alignment horizontal="center" vertical="center" wrapText="1"/>
    </xf>
    <xf numFmtId="0" fontId="7" fillId="0" borderId="6" xfId="0" applyFont="1" applyFill="1" applyBorder="1" applyAlignment="1">
      <alignment horizontal="center" vertical="center" wrapText="1"/>
    </xf>
    <xf numFmtId="0" fontId="12" fillId="0" borderId="0" xfId="0" applyFont="1">
      <alignment vertical="top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top"/>
    </xf>
    <xf numFmtId="0" fontId="5" fillId="0" borderId="1" xfId="0" applyFont="1" applyBorder="1" applyAlignment="1">
      <alignment horizontal="center" vertical="center"/>
    </xf>
    <xf numFmtId="0" fontId="0" fillId="0" borderId="0" xfId="0" applyFont="1" applyAlignment="1">
      <alignment vertical="top" wrapText="1"/>
    </xf>
    <xf numFmtId="0" fontId="2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top"/>
    </xf>
    <xf numFmtId="49" fontId="0" fillId="4" borderId="0" xfId="0" applyNumberFormat="1" applyFont="1" applyFill="1">
      <alignment vertical="top" wrapText="1"/>
    </xf>
    <xf numFmtId="49" fontId="6" fillId="2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49" fontId="6" fillId="2" borderId="1" xfId="0" applyNumberFormat="1" applyFont="1" applyFill="1" applyBorder="1" applyAlignment="1">
      <alignment vertical="center" wrapText="1"/>
    </xf>
    <xf numFmtId="49" fontId="14" fillId="5" borderId="5" xfId="0" applyNumberFormat="1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49" fontId="6" fillId="5" borderId="5" xfId="0" applyNumberFormat="1" applyFont="1" applyFill="1" applyBorder="1" applyAlignment="1">
      <alignment vertical="center" wrapText="1"/>
    </xf>
    <xf numFmtId="49" fontId="6" fillId="5" borderId="5" xfId="0" applyNumberFormat="1" applyFont="1" applyFill="1" applyBorder="1" applyAlignment="1">
      <alignment horizontal="center" vertical="center" wrapText="1"/>
    </xf>
    <xf numFmtId="49" fontId="6" fillId="5" borderId="7" xfId="0" applyNumberFormat="1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49" fontId="6" fillId="5" borderId="8" xfId="0" applyNumberFormat="1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49" fontId="6" fillId="5" borderId="5" xfId="0" applyNumberFormat="1" applyFont="1" applyFill="1" applyBorder="1" applyAlignment="1">
      <alignment horizontal="center" vertical="top" wrapText="1"/>
    </xf>
    <xf numFmtId="49" fontId="6" fillId="5" borderId="9" xfId="0" applyNumberFormat="1" applyFont="1" applyFill="1" applyBorder="1" applyAlignment="1">
      <alignment vertical="center" wrapText="1"/>
    </xf>
    <xf numFmtId="0" fontId="7" fillId="5" borderId="10" xfId="0" applyFont="1" applyFill="1" applyBorder="1" applyAlignment="1">
      <alignment horizontal="center" vertical="center" wrapText="1"/>
    </xf>
    <xf numFmtId="49" fontId="7" fillId="0" borderId="0" xfId="0" applyNumberFormat="1" applyFont="1" applyAlignment="1">
      <alignment vertical="center" wrapText="1"/>
    </xf>
    <xf numFmtId="49" fontId="14" fillId="5" borderId="5" xfId="0" applyNumberFormat="1" applyFont="1" applyFill="1" applyBorder="1" applyAlignment="1">
      <alignment vertical="center" wrapText="1"/>
    </xf>
    <xf numFmtId="49" fontId="6" fillId="5" borderId="7" xfId="0" applyNumberFormat="1" applyFont="1" applyFill="1" applyBorder="1" applyAlignment="1">
      <alignment vertical="center" wrapText="1"/>
    </xf>
    <xf numFmtId="0" fontId="7" fillId="0" borderId="0" xfId="0" applyFont="1" applyAlignment="1">
      <alignment horizontal="left" vertical="center"/>
    </xf>
    <xf numFmtId="9" fontId="15" fillId="0" borderId="0" xfId="0" applyNumberFormat="1" applyFont="1" applyAlignment="1">
      <alignment horizontal="left" vertical="top" wrapText="1"/>
    </xf>
    <xf numFmtId="49" fontId="6" fillId="5" borderId="7" xfId="0" applyNumberFormat="1" applyFont="1" applyFill="1" applyBorder="1" applyAlignment="1">
      <alignment horizontal="center" vertical="top" wrapText="1"/>
    </xf>
    <xf numFmtId="49" fontId="6" fillId="6" borderId="1" xfId="0" applyNumberFormat="1" applyFont="1" applyFill="1" applyBorder="1" applyAlignment="1">
      <alignment horizontal="center" vertical="center"/>
    </xf>
    <xf numFmtId="49" fontId="6" fillId="6" borderId="1" xfId="0" applyNumberFormat="1" applyFont="1" applyFill="1" applyBorder="1" applyAlignment="1">
      <alignment vertical="center" wrapText="1"/>
    </xf>
    <xf numFmtId="0" fontId="7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vertical="center" wrapText="1"/>
    </xf>
    <xf numFmtId="164" fontId="7" fillId="5" borderId="5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8" fillId="0" borderId="0" xfId="0" applyFont="1" applyAlignment="1">
      <alignment horizontal="left" vertical="top"/>
    </xf>
    <xf numFmtId="0" fontId="13" fillId="0" borderId="0" xfId="0" quotePrefix="1" applyFont="1" applyFill="1" applyAlignment="1">
      <alignment horizontal="left" vertical="center" wrapText="1"/>
    </xf>
    <xf numFmtId="0" fontId="13" fillId="0" borderId="0" xfId="0" applyFont="1" applyFill="1" applyAlignment="1">
      <alignment horizontal="left" vertical="center" wrapText="1"/>
    </xf>
    <xf numFmtId="49" fontId="6" fillId="6" borderId="1" xfId="0" applyNumberFormat="1" applyFont="1" applyFill="1" applyBorder="1" applyAlignment="1">
      <alignment vertical="top"/>
    </xf>
    <xf numFmtId="49" fontId="14" fillId="5" borderId="7" xfId="0" applyNumberFormat="1" applyFont="1" applyFill="1" applyBorder="1" applyAlignment="1">
      <alignment vertical="center" wrapText="1"/>
    </xf>
    <xf numFmtId="0" fontId="13" fillId="0" borderId="17" xfId="0" applyFont="1" applyFill="1" applyBorder="1" applyAlignment="1">
      <alignment vertical="center" wrapText="1"/>
    </xf>
    <xf numFmtId="49" fontId="8" fillId="5" borderId="5" xfId="0" applyNumberFormat="1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164" fontId="7" fillId="5" borderId="7" xfId="0" applyNumberFormat="1" applyFont="1" applyFill="1" applyBorder="1" applyAlignment="1">
      <alignment horizontal="center" vertical="center" wrapText="1"/>
    </xf>
    <xf numFmtId="49" fontId="6" fillId="5" borderId="22" xfId="0" applyNumberFormat="1" applyFont="1" applyFill="1" applyBorder="1" applyAlignment="1">
      <alignment horizontal="center" vertical="center" wrapText="1"/>
    </xf>
    <xf numFmtId="49" fontId="6" fillId="5" borderId="11" xfId="0" applyNumberFormat="1" applyFont="1" applyFill="1" applyBorder="1" applyAlignment="1">
      <alignment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49" fontId="6" fillId="5" borderId="24" xfId="0" applyNumberFormat="1" applyFont="1" applyFill="1" applyBorder="1" applyAlignment="1">
      <alignment horizontal="center" vertical="center" wrapText="1"/>
    </xf>
    <xf numFmtId="49" fontId="6" fillId="5" borderId="25" xfId="0" applyNumberFormat="1" applyFont="1" applyFill="1" applyBorder="1" applyAlignment="1">
      <alignment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5" borderId="26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top" wrapText="1"/>
    </xf>
    <xf numFmtId="0" fontId="4" fillId="0" borderId="2" xfId="0" applyFont="1" applyBorder="1" applyAlignment="1">
      <alignment vertical="top" wrapText="1"/>
    </xf>
    <xf numFmtId="0" fontId="3" fillId="0" borderId="3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5" fillId="3" borderId="18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left" vertical="center" wrapText="1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7" fillId="6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 customBuiltin="1"/>
  </cellStyles>
  <dxfs count="0"/>
  <tableStyles count="0" defaultTableStyle="TableStyleMedium9" defaultPivotStyle="PivotStyleLight16"/>
  <colors>
    <mruColors>
      <color rgb="FFCCFF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2435629</xdr:colOff>
          <xdr:row>1</xdr:row>
          <xdr:rowOff>0</xdr:rowOff>
        </xdr:from>
        <xdr:to>
          <xdr:col>0</xdr:col>
          <xdr:colOff>3699164</xdr:colOff>
          <xdr:row>4</xdr:row>
          <xdr:rowOff>58189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Переформировать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лист "Печать"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15</xdr:row>
      <xdr:rowOff>38100</xdr:rowOff>
    </xdr:from>
    <xdr:to>
      <xdr:col>5</xdr:col>
      <xdr:colOff>95250</xdr:colOff>
      <xdr:row>16</xdr:row>
      <xdr:rowOff>1190625</xdr:rowOff>
    </xdr:to>
    <xdr:pic>
      <xdr:nvPicPr>
        <xdr:cNvPr id="313498" name="Рисунок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4638675"/>
          <a:ext cx="24860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19</xdr:row>
      <xdr:rowOff>1208528</xdr:rowOff>
    </xdr:from>
    <xdr:to>
      <xdr:col>5</xdr:col>
      <xdr:colOff>1</xdr:colOff>
      <xdr:row>20</xdr:row>
      <xdr:rowOff>0</xdr:rowOff>
    </xdr:to>
    <xdr:grpSp>
      <xdr:nvGrpSpPr>
        <xdr:cNvPr id="514" name="БШ001"/>
        <xdr:cNvGrpSpPr/>
      </xdr:nvGrpSpPr>
      <xdr:grpSpPr>
        <a:xfrm>
          <a:off x="540328" y="8199532"/>
          <a:ext cx="6242858" cy="2282817"/>
          <a:chOff x="542926" y="8190353"/>
          <a:chExt cx="6257925" cy="2287147"/>
        </a:xfrm>
      </xdr:grpSpPr>
      <xdr:sp macro="" textlink="">
        <xdr:nvSpPr>
          <xdr:cNvPr id="3" name="Поле_БШ_ЗаказчикИмя"/>
          <xdr:cNvSpPr txBox="1">
            <a:spLocks noChangeArrowheads="1"/>
          </xdr:cNvSpPr>
        </xdr:nvSpPr>
        <xdr:spPr bwMode="auto">
          <a:xfrm>
            <a:off x="2765680" y="8757480"/>
            <a:ext cx="4034536" cy="58009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АО "КНПЗ"</a:t>
            </a:r>
          </a:p>
        </xdr:txBody>
      </xdr:sp>
      <xdr:sp macro="" textlink="">
        <xdr:nvSpPr>
          <xdr:cNvPr id="4" name="Поле_БШ_ДокШифр"/>
          <xdr:cNvSpPr txBox="1">
            <a:spLocks noChangeArrowheads="1"/>
          </xdr:cNvSpPr>
        </xdr:nvSpPr>
        <xdr:spPr bwMode="auto">
          <a:xfrm>
            <a:off x="2765680" y="8378656"/>
            <a:ext cx="4035171" cy="3788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5" name="Поле_БШ_Нконтр"/>
          <xdr:cNvSpPr txBox="1">
            <a:spLocks noChangeArrowheads="1"/>
          </xdr:cNvSpPr>
        </xdr:nvSpPr>
        <xdr:spPr bwMode="auto">
          <a:xfrm>
            <a:off x="1235856" y="10096735"/>
            <a:ext cx="66379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Вольская</a:t>
            </a: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6" name="Поле_БШ_НачОтд"/>
          <xdr:cNvSpPr txBox="1">
            <a:spLocks noChangeArrowheads="1"/>
          </xdr:cNvSpPr>
        </xdr:nvSpPr>
        <xdr:spPr bwMode="auto">
          <a:xfrm>
            <a:off x="1235855" y="9906566"/>
            <a:ext cx="66379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Потякин</a:t>
            </a:r>
          </a:p>
        </xdr:txBody>
      </xdr:sp>
      <xdr:sp macro="" textlink="">
        <xdr:nvSpPr>
          <xdr:cNvPr id="7" name="Поле_БШ_ГлСпец"/>
          <xdr:cNvSpPr txBox="1">
            <a:spLocks noChangeArrowheads="1"/>
          </xdr:cNvSpPr>
        </xdr:nvSpPr>
        <xdr:spPr bwMode="auto">
          <a:xfrm>
            <a:off x="1235855" y="9716398"/>
            <a:ext cx="663791" cy="19047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Нилов</a:t>
            </a:r>
          </a:p>
        </xdr:txBody>
      </xdr:sp>
      <xdr:sp macro="" textlink="">
        <xdr:nvSpPr>
          <xdr:cNvPr id="8" name="Поле_БШ_РукГруп"/>
          <xdr:cNvSpPr txBox="1">
            <a:spLocks noChangeArrowheads="1"/>
          </xdr:cNvSpPr>
        </xdr:nvSpPr>
        <xdr:spPr bwMode="auto">
          <a:xfrm>
            <a:off x="1235855" y="9526228"/>
            <a:ext cx="66379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Степанцев</a:t>
            </a:r>
          </a:p>
        </xdr:txBody>
      </xdr:sp>
      <xdr:sp macro="" textlink="">
        <xdr:nvSpPr>
          <xdr:cNvPr id="9" name="Поле_БШ_Разраб"/>
          <xdr:cNvSpPr txBox="1">
            <a:spLocks noChangeArrowheads="1"/>
          </xdr:cNvSpPr>
        </xdr:nvSpPr>
        <xdr:spPr bwMode="auto">
          <a:xfrm>
            <a:off x="1235856" y="9327988"/>
            <a:ext cx="66379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Маракаев</a:t>
            </a:r>
          </a:p>
        </xdr:txBody>
      </xdr:sp>
      <xdr:sp macro="" textlink="">
        <xdr:nvSpPr>
          <xdr:cNvPr id="10" name="Поле_БШ_ПроектИмя"/>
          <xdr:cNvSpPr txBox="1">
            <a:spLocks noChangeArrowheads="1"/>
          </xdr:cNvSpPr>
        </xdr:nvSpPr>
        <xdr:spPr bwMode="auto">
          <a:xfrm>
            <a:off x="2756216" y="9337573"/>
            <a:ext cx="2362736" cy="56899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Эстакада налива сжиженных углеводородных газов с железнодорожными путями. Вынос трубопроводов из зоны строительства.</a:t>
            </a:r>
          </a:p>
        </xdr:txBody>
      </xdr:sp>
      <xdr:sp macro="" textlink="">
        <xdr:nvSpPr>
          <xdr:cNvPr id="11" name="Поле_БШ_ДокИмя"/>
          <xdr:cNvSpPr txBox="1">
            <a:spLocks noChangeArrowheads="1"/>
          </xdr:cNvSpPr>
        </xdr:nvSpPr>
        <xdr:spPr bwMode="auto">
          <a:xfrm>
            <a:off x="2756216" y="9906566"/>
            <a:ext cx="2362736" cy="57050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Ведомость объемов работ</a:t>
            </a:r>
          </a:p>
        </xdr:txBody>
      </xdr:sp>
      <xdr:sp macro="" textlink="">
        <xdr:nvSpPr>
          <xdr:cNvPr id="12" name="Поле_БШ_Стадия"/>
          <xdr:cNvSpPr txBox="1">
            <a:spLocks noChangeArrowheads="1"/>
          </xdr:cNvSpPr>
        </xdr:nvSpPr>
        <xdr:spPr bwMode="auto">
          <a:xfrm>
            <a:off x="5118952" y="9526228"/>
            <a:ext cx="513097" cy="38033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Р</a:t>
            </a:r>
          </a:p>
        </xdr:txBody>
      </xdr:sp>
      <xdr:sp macro="" textlink="">
        <xdr:nvSpPr>
          <xdr:cNvPr id="13" name="Поле_БШ_Лист"/>
          <xdr:cNvSpPr txBox="1">
            <a:spLocks noChangeArrowheads="1"/>
          </xdr:cNvSpPr>
        </xdr:nvSpPr>
        <xdr:spPr bwMode="auto">
          <a:xfrm>
            <a:off x="5632048" y="9535812"/>
            <a:ext cx="503632" cy="3707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</a:t>
            </a:r>
          </a:p>
        </xdr:txBody>
      </xdr:sp>
      <xdr:sp macro="" textlink="">
        <xdr:nvSpPr>
          <xdr:cNvPr id="14" name="Поле_БШ_Листов"/>
          <xdr:cNvSpPr txBox="1">
            <a:spLocks noChangeArrowheads="1"/>
          </xdr:cNvSpPr>
        </xdr:nvSpPr>
        <xdr:spPr bwMode="auto">
          <a:xfrm>
            <a:off x="6135680" y="9526228"/>
            <a:ext cx="664536" cy="38033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9</a:t>
            </a:r>
          </a:p>
        </xdr:txBody>
      </xdr:sp>
      <xdr:sp macro="" textlink="">
        <xdr:nvSpPr>
          <xdr:cNvPr id="15" name="Поле_БШ_ИзмПодп4"/>
          <xdr:cNvSpPr txBox="1">
            <a:spLocks noChangeArrowheads="1"/>
          </xdr:cNvSpPr>
        </xdr:nvSpPr>
        <xdr:spPr bwMode="auto">
          <a:xfrm>
            <a:off x="1909856" y="8947650"/>
            <a:ext cx="49416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6" name="Поле_БШ_ИзмПодп3"/>
          <xdr:cNvSpPr txBox="1">
            <a:spLocks noChangeArrowheads="1"/>
          </xdr:cNvSpPr>
        </xdr:nvSpPr>
        <xdr:spPr bwMode="auto">
          <a:xfrm>
            <a:off x="1919321" y="8757480"/>
            <a:ext cx="49416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" name="Поле_БШ_ИзмПодп2"/>
          <xdr:cNvSpPr txBox="1">
            <a:spLocks noChangeArrowheads="1"/>
          </xdr:cNvSpPr>
        </xdr:nvSpPr>
        <xdr:spPr bwMode="auto">
          <a:xfrm>
            <a:off x="1909856" y="8567311"/>
            <a:ext cx="49416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" name="Поле_БШ_ИзмПодп1"/>
          <xdr:cNvSpPr txBox="1">
            <a:spLocks noChangeArrowheads="1"/>
          </xdr:cNvSpPr>
        </xdr:nvSpPr>
        <xdr:spPr bwMode="auto">
          <a:xfrm>
            <a:off x="1919321" y="8378656"/>
            <a:ext cx="494167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9" name="Поле_БШ_ИзмДата4"/>
          <xdr:cNvSpPr txBox="1">
            <a:spLocks noChangeArrowheads="1"/>
          </xdr:cNvSpPr>
        </xdr:nvSpPr>
        <xdr:spPr bwMode="auto">
          <a:xfrm>
            <a:off x="2422952" y="8947650"/>
            <a:ext cx="323799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0" name="Поле_БШ_ИзмДата3"/>
          <xdr:cNvSpPr txBox="1">
            <a:spLocks noChangeArrowheads="1"/>
          </xdr:cNvSpPr>
        </xdr:nvSpPr>
        <xdr:spPr bwMode="auto">
          <a:xfrm>
            <a:off x="2413488" y="8757480"/>
            <a:ext cx="342729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1" name="Поле_БШ_ИзмДата2"/>
          <xdr:cNvSpPr txBox="1">
            <a:spLocks noChangeArrowheads="1"/>
          </xdr:cNvSpPr>
        </xdr:nvSpPr>
        <xdr:spPr bwMode="auto">
          <a:xfrm>
            <a:off x="2422952" y="8567311"/>
            <a:ext cx="323799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" name="Поле_БШ_ИзмДата1"/>
          <xdr:cNvSpPr txBox="1">
            <a:spLocks noChangeArrowheads="1"/>
          </xdr:cNvSpPr>
        </xdr:nvSpPr>
        <xdr:spPr bwMode="auto">
          <a:xfrm>
            <a:off x="2404023" y="8378656"/>
            <a:ext cx="342729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" name="Поле_БШ_Изм4"/>
          <xdr:cNvSpPr txBox="1">
            <a:spLocks noChangeArrowheads="1"/>
          </xdr:cNvSpPr>
        </xdr:nvSpPr>
        <xdr:spPr bwMode="auto">
          <a:xfrm>
            <a:off x="552391" y="8947650"/>
            <a:ext cx="340735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4" name="Поле_БШ_Изм3"/>
          <xdr:cNvSpPr txBox="1">
            <a:spLocks noChangeArrowheads="1"/>
          </xdr:cNvSpPr>
        </xdr:nvSpPr>
        <xdr:spPr bwMode="auto">
          <a:xfrm>
            <a:off x="542926" y="8757480"/>
            <a:ext cx="35020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5" name="Поле_БШ_Изм2"/>
          <xdr:cNvSpPr txBox="1">
            <a:spLocks noChangeArrowheads="1"/>
          </xdr:cNvSpPr>
        </xdr:nvSpPr>
        <xdr:spPr bwMode="auto">
          <a:xfrm>
            <a:off x="542926" y="8567311"/>
            <a:ext cx="340735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6" name="Поле_БШ_Изм1"/>
          <xdr:cNvSpPr txBox="1">
            <a:spLocks noChangeArrowheads="1"/>
          </xdr:cNvSpPr>
        </xdr:nvSpPr>
        <xdr:spPr bwMode="auto">
          <a:xfrm>
            <a:off x="542926" y="8378656"/>
            <a:ext cx="350201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" name="Поле_БШ_ИзмКол4"/>
          <xdr:cNvSpPr txBox="1">
            <a:spLocks noChangeArrowheads="1"/>
          </xdr:cNvSpPr>
        </xdr:nvSpPr>
        <xdr:spPr bwMode="auto">
          <a:xfrm>
            <a:off x="904584" y="8947650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8" name="Поле_БШ_ИзмКол3"/>
          <xdr:cNvSpPr txBox="1">
            <a:spLocks noChangeArrowheads="1"/>
          </xdr:cNvSpPr>
        </xdr:nvSpPr>
        <xdr:spPr bwMode="auto">
          <a:xfrm>
            <a:off x="904584" y="8757480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9" name="Поле_БШ_ИзмКол2"/>
          <xdr:cNvSpPr txBox="1">
            <a:spLocks noChangeArrowheads="1"/>
          </xdr:cNvSpPr>
        </xdr:nvSpPr>
        <xdr:spPr bwMode="auto">
          <a:xfrm>
            <a:off x="904584" y="8567311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0" name="Поле_БШ_ИзмКол1"/>
          <xdr:cNvSpPr txBox="1">
            <a:spLocks noChangeArrowheads="1"/>
          </xdr:cNvSpPr>
        </xdr:nvSpPr>
        <xdr:spPr bwMode="auto">
          <a:xfrm>
            <a:off x="904584" y="8378656"/>
            <a:ext cx="331271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1" name="Поле_БШ_ИзмЛист4"/>
          <xdr:cNvSpPr txBox="1">
            <a:spLocks noChangeArrowheads="1"/>
          </xdr:cNvSpPr>
        </xdr:nvSpPr>
        <xdr:spPr bwMode="auto">
          <a:xfrm>
            <a:off x="1245320" y="8947650"/>
            <a:ext cx="323800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" name="Поле_БШ_ИзмЛист3"/>
          <xdr:cNvSpPr txBox="1">
            <a:spLocks noChangeArrowheads="1"/>
          </xdr:cNvSpPr>
        </xdr:nvSpPr>
        <xdr:spPr bwMode="auto">
          <a:xfrm>
            <a:off x="1235856" y="8757480"/>
            <a:ext cx="333265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3" name="Поле_БШ_ИзмЛист2"/>
          <xdr:cNvSpPr txBox="1">
            <a:spLocks noChangeArrowheads="1"/>
          </xdr:cNvSpPr>
        </xdr:nvSpPr>
        <xdr:spPr bwMode="auto">
          <a:xfrm>
            <a:off x="1245320" y="8567311"/>
            <a:ext cx="323800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4" name="Поле_БШ_ИзмЛист1"/>
          <xdr:cNvSpPr txBox="1">
            <a:spLocks noChangeArrowheads="1"/>
          </xdr:cNvSpPr>
        </xdr:nvSpPr>
        <xdr:spPr bwMode="auto">
          <a:xfrm>
            <a:off x="1245320" y="8378656"/>
            <a:ext cx="323800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5" name="Поле_БШ_ИзмДок4"/>
          <xdr:cNvSpPr txBox="1">
            <a:spLocks noChangeArrowheads="1"/>
          </xdr:cNvSpPr>
        </xdr:nvSpPr>
        <xdr:spPr bwMode="auto">
          <a:xfrm>
            <a:off x="1578585" y="8947650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6" name="Поле_БШ_ИзмДок3"/>
          <xdr:cNvSpPr txBox="1">
            <a:spLocks noChangeArrowheads="1"/>
          </xdr:cNvSpPr>
        </xdr:nvSpPr>
        <xdr:spPr bwMode="auto">
          <a:xfrm>
            <a:off x="1569120" y="8757480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" name="Поле_БШ_ИзмДок2"/>
          <xdr:cNvSpPr txBox="1">
            <a:spLocks noChangeArrowheads="1"/>
          </xdr:cNvSpPr>
        </xdr:nvSpPr>
        <xdr:spPr bwMode="auto">
          <a:xfrm>
            <a:off x="1578585" y="8567311"/>
            <a:ext cx="33127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8" name="Поле_БШ_ИзмДок1"/>
          <xdr:cNvSpPr txBox="1">
            <a:spLocks noChangeArrowheads="1"/>
          </xdr:cNvSpPr>
        </xdr:nvSpPr>
        <xdr:spPr bwMode="auto">
          <a:xfrm>
            <a:off x="1578585" y="8378656"/>
            <a:ext cx="331271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none" lIns="0" tIns="0" rIns="0" bIns="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9" name="Line 62"/>
          <xdr:cNvSpPr>
            <a:spLocks noChangeShapeType="1"/>
          </xdr:cNvSpPr>
        </xdr:nvSpPr>
        <xdr:spPr bwMode="auto">
          <a:xfrm>
            <a:off x="542926" y="8380522"/>
            <a:ext cx="625729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" name="Line 63"/>
          <xdr:cNvSpPr>
            <a:spLocks noChangeShapeType="1"/>
          </xdr:cNvSpPr>
        </xdr:nvSpPr>
        <xdr:spPr bwMode="auto">
          <a:xfrm>
            <a:off x="542926" y="8380522"/>
            <a:ext cx="0" cy="20965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" name="Line 64"/>
          <xdr:cNvSpPr>
            <a:spLocks noChangeShapeType="1"/>
          </xdr:cNvSpPr>
        </xdr:nvSpPr>
        <xdr:spPr bwMode="auto">
          <a:xfrm>
            <a:off x="6800216" y="8380522"/>
            <a:ext cx="0" cy="209655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" name="Line 65"/>
          <xdr:cNvSpPr>
            <a:spLocks noChangeShapeType="1"/>
          </xdr:cNvSpPr>
        </xdr:nvSpPr>
        <xdr:spPr bwMode="auto">
          <a:xfrm>
            <a:off x="893127" y="8380522"/>
            <a:ext cx="0" cy="94848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" name="Line 66"/>
          <xdr:cNvSpPr>
            <a:spLocks noChangeShapeType="1"/>
          </xdr:cNvSpPr>
        </xdr:nvSpPr>
        <xdr:spPr bwMode="auto">
          <a:xfrm>
            <a:off x="1235856" y="8380522"/>
            <a:ext cx="0" cy="20965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67"/>
          <xdr:cNvSpPr>
            <a:spLocks noChangeShapeType="1"/>
          </xdr:cNvSpPr>
        </xdr:nvSpPr>
        <xdr:spPr bwMode="auto">
          <a:xfrm>
            <a:off x="1569120" y="8380522"/>
            <a:ext cx="0" cy="94848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" name="Line 68"/>
          <xdr:cNvSpPr>
            <a:spLocks noChangeShapeType="1"/>
          </xdr:cNvSpPr>
        </xdr:nvSpPr>
        <xdr:spPr bwMode="auto">
          <a:xfrm>
            <a:off x="1909856" y="8380522"/>
            <a:ext cx="0" cy="20965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" name="Line 69"/>
          <xdr:cNvSpPr>
            <a:spLocks noChangeShapeType="1"/>
          </xdr:cNvSpPr>
        </xdr:nvSpPr>
        <xdr:spPr bwMode="auto">
          <a:xfrm>
            <a:off x="2413488" y="8380522"/>
            <a:ext cx="0" cy="20965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Line 70"/>
          <xdr:cNvSpPr>
            <a:spLocks noChangeShapeType="1"/>
          </xdr:cNvSpPr>
        </xdr:nvSpPr>
        <xdr:spPr bwMode="auto">
          <a:xfrm>
            <a:off x="2756216" y="8380522"/>
            <a:ext cx="0" cy="20965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71"/>
          <xdr:cNvSpPr>
            <a:spLocks noChangeShapeType="1"/>
          </xdr:cNvSpPr>
        </xdr:nvSpPr>
        <xdr:spPr bwMode="auto">
          <a:xfrm>
            <a:off x="2756216" y="8759011"/>
            <a:ext cx="404400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72"/>
          <xdr:cNvSpPr>
            <a:spLocks noChangeShapeType="1"/>
          </xdr:cNvSpPr>
        </xdr:nvSpPr>
        <xdr:spPr bwMode="auto">
          <a:xfrm>
            <a:off x="542926" y="9329011"/>
            <a:ext cx="625729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73"/>
          <xdr:cNvSpPr>
            <a:spLocks noChangeShapeType="1"/>
          </xdr:cNvSpPr>
        </xdr:nvSpPr>
        <xdr:spPr bwMode="auto">
          <a:xfrm>
            <a:off x="2756216" y="9907073"/>
            <a:ext cx="404400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" name="Line 74"/>
          <xdr:cNvSpPr>
            <a:spLocks noChangeShapeType="1"/>
          </xdr:cNvSpPr>
        </xdr:nvSpPr>
        <xdr:spPr bwMode="auto">
          <a:xfrm>
            <a:off x="542926" y="10477074"/>
            <a:ext cx="6257290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Line 75"/>
          <xdr:cNvSpPr>
            <a:spLocks noChangeShapeType="1"/>
          </xdr:cNvSpPr>
        </xdr:nvSpPr>
        <xdr:spPr bwMode="auto">
          <a:xfrm>
            <a:off x="542926" y="8569010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" name="Line 76"/>
          <xdr:cNvSpPr>
            <a:spLocks noChangeShapeType="1"/>
          </xdr:cNvSpPr>
        </xdr:nvSpPr>
        <xdr:spPr bwMode="auto">
          <a:xfrm>
            <a:off x="542926" y="8759011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77"/>
          <xdr:cNvSpPr>
            <a:spLocks noChangeShapeType="1"/>
          </xdr:cNvSpPr>
        </xdr:nvSpPr>
        <xdr:spPr bwMode="auto">
          <a:xfrm>
            <a:off x="542926" y="8949010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78"/>
          <xdr:cNvSpPr>
            <a:spLocks noChangeShapeType="1"/>
          </xdr:cNvSpPr>
        </xdr:nvSpPr>
        <xdr:spPr bwMode="auto">
          <a:xfrm>
            <a:off x="552391" y="9139011"/>
            <a:ext cx="22038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79"/>
          <xdr:cNvSpPr>
            <a:spLocks noChangeShapeType="1"/>
          </xdr:cNvSpPr>
        </xdr:nvSpPr>
        <xdr:spPr bwMode="auto">
          <a:xfrm>
            <a:off x="542926" y="9519012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80"/>
          <xdr:cNvSpPr>
            <a:spLocks noChangeShapeType="1"/>
          </xdr:cNvSpPr>
        </xdr:nvSpPr>
        <xdr:spPr bwMode="auto">
          <a:xfrm>
            <a:off x="542926" y="9717074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81"/>
          <xdr:cNvSpPr>
            <a:spLocks noChangeShapeType="1"/>
          </xdr:cNvSpPr>
        </xdr:nvSpPr>
        <xdr:spPr bwMode="auto">
          <a:xfrm>
            <a:off x="542926" y="9907073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82"/>
          <xdr:cNvSpPr>
            <a:spLocks noChangeShapeType="1"/>
          </xdr:cNvSpPr>
        </xdr:nvSpPr>
        <xdr:spPr bwMode="auto">
          <a:xfrm>
            <a:off x="542926" y="10097075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83"/>
          <xdr:cNvSpPr>
            <a:spLocks noChangeShapeType="1"/>
          </xdr:cNvSpPr>
        </xdr:nvSpPr>
        <xdr:spPr bwMode="auto">
          <a:xfrm>
            <a:off x="542926" y="10287074"/>
            <a:ext cx="221329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84"/>
          <xdr:cNvSpPr>
            <a:spLocks noChangeShapeType="1"/>
          </xdr:cNvSpPr>
        </xdr:nvSpPr>
        <xdr:spPr bwMode="auto">
          <a:xfrm rot="5400000">
            <a:off x="5841916" y="9613255"/>
            <a:ext cx="578063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85"/>
          <xdr:cNvSpPr>
            <a:spLocks noChangeShapeType="1"/>
          </xdr:cNvSpPr>
        </xdr:nvSpPr>
        <xdr:spPr bwMode="auto">
          <a:xfrm rot="5400000">
            <a:off x="5347806" y="9613255"/>
            <a:ext cx="568488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" name="Line 86"/>
          <xdr:cNvSpPr>
            <a:spLocks noChangeShapeType="1"/>
          </xdr:cNvSpPr>
        </xdr:nvSpPr>
        <xdr:spPr bwMode="auto">
          <a:xfrm>
            <a:off x="5109487" y="9519012"/>
            <a:ext cx="169072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" name="Line 103"/>
          <xdr:cNvSpPr>
            <a:spLocks noChangeShapeType="1"/>
          </xdr:cNvSpPr>
        </xdr:nvSpPr>
        <xdr:spPr bwMode="auto">
          <a:xfrm rot="5400000">
            <a:off x="4549708" y="9907830"/>
            <a:ext cx="1138488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5" name="Поле_БШ_Компания1Название"/>
          <xdr:cNvSpPr txBox="1">
            <a:spLocks noChangeArrowheads="1"/>
          </xdr:cNvSpPr>
        </xdr:nvSpPr>
        <xdr:spPr bwMode="auto">
          <a:xfrm>
            <a:off x="5118952" y="10029647"/>
            <a:ext cx="1681264" cy="34200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АО
«Самаранефтехимпроект»</a:t>
            </a:r>
          </a:p>
        </xdr:txBody>
      </xdr:sp>
      <xdr:sp macro="" textlink="">
        <xdr:nvSpPr>
          <xdr:cNvPr id="66" name="Text Box 107"/>
          <xdr:cNvSpPr txBox="1">
            <a:spLocks noChangeArrowheads="1"/>
          </xdr:cNvSpPr>
        </xdr:nvSpPr>
        <xdr:spPr bwMode="auto">
          <a:xfrm>
            <a:off x="1909856" y="9137819"/>
            <a:ext cx="503632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67" name="Text Box 108"/>
          <xdr:cNvSpPr txBox="1">
            <a:spLocks noChangeArrowheads="1"/>
          </xdr:cNvSpPr>
        </xdr:nvSpPr>
        <xdr:spPr bwMode="auto">
          <a:xfrm>
            <a:off x="2413488" y="9137819"/>
            <a:ext cx="342729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68" name="Text Box 119"/>
          <xdr:cNvSpPr txBox="1">
            <a:spLocks noChangeArrowheads="1"/>
          </xdr:cNvSpPr>
        </xdr:nvSpPr>
        <xdr:spPr bwMode="auto">
          <a:xfrm>
            <a:off x="5118952" y="9337573"/>
            <a:ext cx="513097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Стадия</a:t>
            </a:r>
          </a:p>
        </xdr:txBody>
      </xdr:sp>
      <xdr:sp macro="" textlink="">
        <xdr:nvSpPr>
          <xdr:cNvPr id="69" name="Text Box 120"/>
          <xdr:cNvSpPr txBox="1">
            <a:spLocks noChangeArrowheads="1"/>
          </xdr:cNvSpPr>
        </xdr:nvSpPr>
        <xdr:spPr bwMode="auto">
          <a:xfrm>
            <a:off x="5632048" y="9337573"/>
            <a:ext cx="503632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70" name="Text Box 121"/>
          <xdr:cNvSpPr txBox="1">
            <a:spLocks noChangeArrowheads="1"/>
          </xdr:cNvSpPr>
        </xdr:nvSpPr>
        <xdr:spPr bwMode="auto">
          <a:xfrm>
            <a:off x="6126215" y="9337573"/>
            <a:ext cx="674001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Листов</a:t>
            </a:r>
          </a:p>
        </xdr:txBody>
      </xdr:sp>
      <xdr:sp macro="" textlink="">
        <xdr:nvSpPr>
          <xdr:cNvPr id="71" name="Text Box 122"/>
          <xdr:cNvSpPr txBox="1">
            <a:spLocks noChangeArrowheads="1"/>
          </xdr:cNvSpPr>
        </xdr:nvSpPr>
        <xdr:spPr bwMode="auto">
          <a:xfrm>
            <a:off x="552391" y="9137819"/>
            <a:ext cx="340735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72" name="Text Box 123"/>
          <xdr:cNvSpPr txBox="1">
            <a:spLocks noChangeArrowheads="1"/>
          </xdr:cNvSpPr>
        </xdr:nvSpPr>
        <xdr:spPr bwMode="auto">
          <a:xfrm>
            <a:off x="893127" y="9137819"/>
            <a:ext cx="333264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73" name="Text Box 124"/>
          <xdr:cNvSpPr txBox="1">
            <a:spLocks noChangeArrowheads="1"/>
          </xdr:cNvSpPr>
        </xdr:nvSpPr>
        <xdr:spPr bwMode="auto">
          <a:xfrm>
            <a:off x="1235856" y="9137819"/>
            <a:ext cx="323800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74" name="Text Box 125"/>
          <xdr:cNvSpPr txBox="1">
            <a:spLocks noChangeArrowheads="1"/>
          </xdr:cNvSpPr>
        </xdr:nvSpPr>
        <xdr:spPr bwMode="auto">
          <a:xfrm>
            <a:off x="1569120" y="9137819"/>
            <a:ext cx="340735" cy="19975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75" name="Поле_БШ_Подпись5Роль"/>
          <xdr:cNvSpPr txBox="1">
            <a:spLocks noChangeArrowheads="1"/>
          </xdr:cNvSpPr>
        </xdr:nvSpPr>
        <xdr:spPr bwMode="auto">
          <a:xfrm>
            <a:off x="552391" y="10096735"/>
            <a:ext cx="683465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Н.контр.</a:t>
            </a:r>
          </a:p>
        </xdr:txBody>
      </xdr:sp>
      <xdr:sp macro="" textlink="">
        <xdr:nvSpPr>
          <xdr:cNvPr id="76" name="Поле_БШ_Подпись4Роль"/>
          <xdr:cNvSpPr txBox="1">
            <a:spLocks noChangeArrowheads="1"/>
          </xdr:cNvSpPr>
        </xdr:nvSpPr>
        <xdr:spPr bwMode="auto">
          <a:xfrm>
            <a:off x="552391" y="9906566"/>
            <a:ext cx="674000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Нач. отдела</a:t>
            </a:r>
          </a:p>
        </xdr:txBody>
      </xdr:sp>
      <xdr:sp macro="" textlink="">
        <xdr:nvSpPr>
          <xdr:cNvPr id="77" name="Поле_БШ_Подпись2Роль"/>
          <xdr:cNvSpPr txBox="1">
            <a:spLocks noChangeArrowheads="1"/>
          </xdr:cNvSpPr>
        </xdr:nvSpPr>
        <xdr:spPr bwMode="auto">
          <a:xfrm>
            <a:off x="552391" y="9526228"/>
            <a:ext cx="674000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Рук. группы</a:t>
            </a:r>
          </a:p>
        </xdr:txBody>
      </xdr:sp>
      <xdr:sp macro="" textlink="">
        <xdr:nvSpPr>
          <xdr:cNvPr id="78" name="Поле_БШ_Подпись1Роль"/>
          <xdr:cNvSpPr txBox="1">
            <a:spLocks noChangeArrowheads="1"/>
          </xdr:cNvSpPr>
        </xdr:nvSpPr>
        <xdr:spPr bwMode="auto">
          <a:xfrm>
            <a:off x="552391" y="9327988"/>
            <a:ext cx="674000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Разраб.</a:t>
            </a:r>
          </a:p>
        </xdr:txBody>
      </xdr:sp>
      <xdr:sp macro="" textlink="">
        <xdr:nvSpPr>
          <xdr:cNvPr id="79" name="Поле_БШ_Подпись3Роль"/>
          <xdr:cNvSpPr txBox="1">
            <a:spLocks noChangeArrowheads="1"/>
          </xdr:cNvSpPr>
        </xdr:nvSpPr>
        <xdr:spPr bwMode="auto">
          <a:xfrm>
            <a:off x="552391" y="9725983"/>
            <a:ext cx="674000" cy="18058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Гл. спец</a:t>
            </a:r>
          </a:p>
        </xdr:txBody>
      </xdr:sp>
      <xdr:sp macro="" textlink="">
        <xdr:nvSpPr>
          <xdr:cNvPr id="80" name="Поле_БШ_ГИП"/>
          <xdr:cNvSpPr txBox="1">
            <a:spLocks noChangeArrowheads="1"/>
          </xdr:cNvSpPr>
        </xdr:nvSpPr>
        <xdr:spPr bwMode="auto">
          <a:xfrm>
            <a:off x="1235856" y="10286905"/>
            <a:ext cx="663791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 </a:t>
            </a:r>
          </a:p>
        </xdr:txBody>
      </xdr:sp>
      <xdr:sp macro="" textlink="">
        <xdr:nvSpPr>
          <xdr:cNvPr id="81" name="Поле_БШ_Подпись6Роль"/>
          <xdr:cNvSpPr txBox="1">
            <a:spLocks noChangeArrowheads="1"/>
          </xdr:cNvSpPr>
        </xdr:nvSpPr>
        <xdr:spPr bwMode="auto">
          <a:xfrm>
            <a:off x="552391" y="10286905"/>
            <a:ext cx="683465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 </a:t>
            </a:r>
          </a:p>
        </xdr:txBody>
      </xdr:sp>
      <xdr:sp macro="" textlink="">
        <xdr:nvSpPr>
          <xdr:cNvPr id="82" name="Поле_БШ_Подпись1Дата"/>
          <xdr:cNvSpPr txBox="1">
            <a:spLocks noChangeArrowheads="1"/>
          </xdr:cNvSpPr>
        </xdr:nvSpPr>
        <xdr:spPr bwMode="auto">
          <a:xfrm>
            <a:off x="2413488" y="9327988"/>
            <a:ext cx="33594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3" name="Поле_БШ_Подпись2Дата"/>
          <xdr:cNvSpPr txBox="1">
            <a:spLocks noChangeArrowheads="1"/>
          </xdr:cNvSpPr>
        </xdr:nvSpPr>
        <xdr:spPr bwMode="auto">
          <a:xfrm>
            <a:off x="2417198" y="9525746"/>
            <a:ext cx="335947" cy="18865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4" name="Поле_БШ_Подпись3Дата"/>
          <xdr:cNvSpPr txBox="1">
            <a:spLocks noChangeArrowheads="1"/>
          </xdr:cNvSpPr>
        </xdr:nvSpPr>
        <xdr:spPr bwMode="auto">
          <a:xfrm>
            <a:off x="2416285" y="9717335"/>
            <a:ext cx="33594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5" name="Поле_БШ_Подпись4Дата"/>
          <xdr:cNvSpPr txBox="1">
            <a:spLocks noChangeArrowheads="1"/>
          </xdr:cNvSpPr>
        </xdr:nvSpPr>
        <xdr:spPr bwMode="auto">
          <a:xfrm>
            <a:off x="2415371" y="9905781"/>
            <a:ext cx="33594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6" name="Поле_БШ_Подпись5Дата"/>
          <xdr:cNvSpPr txBox="1">
            <a:spLocks noChangeArrowheads="1"/>
          </xdr:cNvSpPr>
        </xdr:nvSpPr>
        <xdr:spPr bwMode="auto">
          <a:xfrm>
            <a:off x="2414458" y="10098885"/>
            <a:ext cx="33594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7" name="Поле_БШ_Подпись6Дата"/>
          <xdr:cNvSpPr txBox="1">
            <a:spLocks noChangeArrowheads="1"/>
          </xdr:cNvSpPr>
        </xdr:nvSpPr>
        <xdr:spPr bwMode="auto">
          <a:xfrm>
            <a:off x="2413543" y="10287331"/>
            <a:ext cx="335947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0" tIns="22860" rIns="0" bIns="2286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 </a:t>
            </a: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88" name="Поле_БШ_МеткаДоп1"/>
          <xdr:cNvSpPr txBox="1">
            <a:spLocks noChangeArrowheads="1"/>
          </xdr:cNvSpPr>
        </xdr:nvSpPr>
        <xdr:spPr bwMode="auto">
          <a:xfrm>
            <a:off x="542926" y="8190353"/>
            <a:ext cx="2512094" cy="1901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overflow" horzOverflow="overflow" wrap="none" lIns="27432" tIns="22860" rIns="0" bIns="22860" anchor="ctr" upright="1"/>
          <a:lstStyle/>
          <a:p>
            <a:pPr algn="l" rtl="0">
              <a:defRPr sz="1000"/>
            </a:pPr>
            <a:endParaRPr lang="ru-RU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0</xdr:col>
      <xdr:colOff>114300</xdr:colOff>
      <xdr:row>19</xdr:row>
      <xdr:rowOff>314325</xdr:rowOff>
    </xdr:from>
    <xdr:to>
      <xdr:col>1</xdr:col>
      <xdr:colOff>0</xdr:colOff>
      <xdr:row>20</xdr:row>
      <xdr:rowOff>0</xdr:rowOff>
    </xdr:to>
    <xdr:grpSp>
      <xdr:nvGrpSpPr>
        <xdr:cNvPr id="90" name="БкШ001"/>
        <xdr:cNvGrpSpPr>
          <a:grpSpLocks/>
        </xdr:cNvGrpSpPr>
      </xdr:nvGrpSpPr>
      <xdr:grpSpPr bwMode="auto">
        <a:xfrm>
          <a:off x="114300" y="7305329"/>
          <a:ext cx="426027" cy="3177020"/>
          <a:chOff x="254532" y="6452366"/>
          <a:chExt cx="432712" cy="3225034"/>
        </a:xfrm>
      </xdr:grpSpPr>
      <xdr:sp macro="" textlink="">
        <xdr:nvSpPr>
          <xdr:cNvPr id="91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2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3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4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6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7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98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99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100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1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0</xdr:col>
      <xdr:colOff>19050</xdr:colOff>
      <xdr:row>12</xdr:row>
      <xdr:rowOff>47625</xdr:rowOff>
    </xdr:from>
    <xdr:to>
      <xdr:col>1</xdr:col>
      <xdr:colOff>0</xdr:colOff>
      <xdr:row>19</xdr:row>
      <xdr:rowOff>314325</xdr:rowOff>
    </xdr:to>
    <xdr:grpSp>
      <xdr:nvGrpSpPr>
        <xdr:cNvPr id="102" name="СШ001-1"/>
        <xdr:cNvGrpSpPr>
          <a:grpSpLocks/>
        </xdr:cNvGrpSpPr>
      </xdr:nvGrpSpPr>
      <xdr:grpSpPr bwMode="auto">
        <a:xfrm>
          <a:off x="19050" y="4893945"/>
          <a:ext cx="521277" cy="2411384"/>
          <a:chOff x="8262146" y="8250284"/>
          <a:chExt cx="528319" cy="2322526"/>
        </a:xfrm>
      </xdr:grpSpPr>
      <xdr:sp macro="" textlink="">
        <xdr:nvSpPr>
          <xdr:cNvPr id="103" name="Прямоугольник 102"/>
          <xdr:cNvSpPr/>
        </xdr:nvSpPr>
        <xdr:spPr>
          <a:xfrm rot="16200000">
            <a:off x="7182533" y="9329897"/>
            <a:ext cx="2322526" cy="163299"/>
          </a:xfrm>
          <a:prstGeom prst="rect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sp macro="" textlink="">
        <xdr:nvSpPr>
          <xdr:cNvPr id="104" name="Прямоугольник 103"/>
          <xdr:cNvSpPr/>
        </xdr:nvSpPr>
        <xdr:spPr>
          <a:xfrm rot="16200000">
            <a:off x="7537947" y="9320291"/>
            <a:ext cx="2322526" cy="182510"/>
          </a:xfrm>
          <a:prstGeom prst="rect">
            <a:avLst/>
          </a:prstGeom>
          <a:noFill/>
          <a:ln w="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sp macro="" textlink="">
        <xdr:nvSpPr>
          <xdr:cNvPr id="105" name="Прямоугольник 104"/>
          <xdr:cNvSpPr/>
        </xdr:nvSpPr>
        <xdr:spPr>
          <a:xfrm rot="16200000">
            <a:off x="7355437" y="9320291"/>
            <a:ext cx="2322526" cy="182510"/>
          </a:xfrm>
          <a:prstGeom prst="rect">
            <a:avLst/>
          </a:prstGeom>
          <a:noFill/>
          <a:ln w="63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cxnSp macro="">
        <xdr:nvCxnSpPr>
          <xdr:cNvPr id="106" name="Прямая соединительная линия 105"/>
          <xdr:cNvCxnSpPr>
            <a:stCxn id="103" idx="1"/>
          </xdr:cNvCxnSpPr>
        </xdr:nvCxnSpPr>
        <xdr:spPr>
          <a:xfrm>
            <a:off x="8348598" y="10572810"/>
            <a:ext cx="441867" cy="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07" name="Прямая соединительная линия 106"/>
          <xdr:cNvCxnSpPr>
            <a:stCxn id="103" idx="3"/>
          </xdr:cNvCxnSpPr>
        </xdr:nvCxnSpPr>
        <xdr:spPr>
          <a:xfrm>
            <a:off x="8348598" y="8250284"/>
            <a:ext cx="441867" cy="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08" name="Прямая соединительная линия 107"/>
          <xdr:cNvCxnSpPr/>
        </xdr:nvCxnSpPr>
        <xdr:spPr>
          <a:xfrm rot="16200000" flipH="1">
            <a:off x="8607955" y="9677083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09" name="Прямая соединительная линия 108"/>
          <xdr:cNvCxnSpPr/>
        </xdr:nvCxnSpPr>
        <xdr:spPr>
          <a:xfrm rot="16200000" flipH="1">
            <a:off x="8607955" y="8963867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10" name="Прямая соединительная линия 109"/>
          <xdr:cNvCxnSpPr/>
        </xdr:nvCxnSpPr>
        <xdr:spPr>
          <a:xfrm rot="16200000" flipH="1">
            <a:off x="8607955" y="8424382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sp macro="" textlink="">
        <xdr:nvSpPr>
          <xdr:cNvPr id="111" name="TextBox 110"/>
          <xdr:cNvSpPr txBox="1"/>
        </xdr:nvSpPr>
        <xdr:spPr>
          <a:xfrm>
            <a:off x="8271752" y="8250284"/>
            <a:ext cx="153693" cy="2322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vert270" wrap="square" lIns="3600" tIns="21600" rIns="3600" bIns="21600" rtlCol="0" anchor="t">
            <a:noAutofit/>
          </a:bodyPr>
          <a:lstStyle/>
          <a:p>
            <a:r>
              <a:rPr lang="ru-RU" sz="900">
                <a:latin typeface="Arial" pitchFamily="34" charset="0"/>
                <a:cs typeface="Arial" pitchFamily="34" charset="0"/>
              </a:rPr>
              <a:t>Согласовано</a:t>
            </a:r>
          </a:p>
        </xdr:txBody>
      </xdr:sp>
    </xdr:grpSp>
    <xdr:clientData/>
  </xdr:twoCellAnchor>
  <xdr:twoCellAnchor editAs="oneCell">
    <xdr:from>
      <xdr:col>0</xdr:col>
      <xdr:colOff>19050</xdr:colOff>
      <xdr:row>6</xdr:row>
      <xdr:rowOff>266700</xdr:rowOff>
    </xdr:from>
    <xdr:to>
      <xdr:col>1</xdr:col>
      <xdr:colOff>0</xdr:colOff>
      <xdr:row>12</xdr:row>
      <xdr:rowOff>47625</xdr:rowOff>
    </xdr:to>
    <xdr:grpSp>
      <xdr:nvGrpSpPr>
        <xdr:cNvPr id="112" name="СШ001-2"/>
        <xdr:cNvGrpSpPr>
          <a:grpSpLocks/>
        </xdr:cNvGrpSpPr>
      </xdr:nvGrpSpPr>
      <xdr:grpSpPr bwMode="auto">
        <a:xfrm>
          <a:off x="19050" y="2452947"/>
          <a:ext cx="521277" cy="2440998"/>
          <a:chOff x="8262146" y="8250284"/>
          <a:chExt cx="528319" cy="2322526"/>
        </a:xfrm>
      </xdr:grpSpPr>
      <xdr:sp macro="" textlink="">
        <xdr:nvSpPr>
          <xdr:cNvPr id="113" name="Прямоугольник 112"/>
          <xdr:cNvSpPr/>
        </xdr:nvSpPr>
        <xdr:spPr>
          <a:xfrm rot="16200000">
            <a:off x="7182533" y="9329897"/>
            <a:ext cx="2322526" cy="163299"/>
          </a:xfrm>
          <a:prstGeom prst="rect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sp macro="" textlink="">
        <xdr:nvSpPr>
          <xdr:cNvPr id="114" name="Прямоугольник 113"/>
          <xdr:cNvSpPr/>
        </xdr:nvSpPr>
        <xdr:spPr>
          <a:xfrm rot="16200000">
            <a:off x="7537947" y="9320291"/>
            <a:ext cx="2322526" cy="182510"/>
          </a:xfrm>
          <a:prstGeom prst="rect">
            <a:avLst/>
          </a:prstGeom>
          <a:noFill/>
          <a:ln w="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sp macro="" textlink="">
        <xdr:nvSpPr>
          <xdr:cNvPr id="115" name="Прямоугольник 114"/>
          <xdr:cNvSpPr/>
        </xdr:nvSpPr>
        <xdr:spPr>
          <a:xfrm rot="16200000">
            <a:off x="7355437" y="9320291"/>
            <a:ext cx="2322526" cy="182510"/>
          </a:xfrm>
          <a:prstGeom prst="rect">
            <a:avLst/>
          </a:prstGeom>
          <a:noFill/>
          <a:ln w="63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ru-RU"/>
          </a:p>
        </xdr:txBody>
      </xdr:sp>
      <xdr:cxnSp macro="">
        <xdr:nvCxnSpPr>
          <xdr:cNvPr id="116" name="Прямая соединительная линия 115"/>
          <xdr:cNvCxnSpPr>
            <a:stCxn id="113" idx="1"/>
          </xdr:cNvCxnSpPr>
        </xdr:nvCxnSpPr>
        <xdr:spPr>
          <a:xfrm>
            <a:off x="8348598" y="10572810"/>
            <a:ext cx="441867" cy="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17" name="Прямая соединительная линия 116"/>
          <xdr:cNvCxnSpPr>
            <a:stCxn id="113" idx="3"/>
          </xdr:cNvCxnSpPr>
        </xdr:nvCxnSpPr>
        <xdr:spPr>
          <a:xfrm>
            <a:off x="8348598" y="8250284"/>
            <a:ext cx="441867" cy="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18" name="Прямая соединительная линия 117"/>
          <xdr:cNvCxnSpPr/>
        </xdr:nvCxnSpPr>
        <xdr:spPr>
          <a:xfrm rot="16200000" flipH="1">
            <a:off x="8607955" y="9677083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19" name="Прямая соединительная линия 118"/>
          <xdr:cNvCxnSpPr/>
        </xdr:nvCxnSpPr>
        <xdr:spPr>
          <a:xfrm rot="16200000" flipH="1">
            <a:off x="8607955" y="8963867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cxnSp macro="">
        <xdr:nvCxnSpPr>
          <xdr:cNvPr id="120" name="Прямая соединительная линия 119"/>
          <xdr:cNvCxnSpPr/>
        </xdr:nvCxnSpPr>
        <xdr:spPr>
          <a:xfrm rot="16200000" flipH="1">
            <a:off x="8607955" y="8424382"/>
            <a:ext cx="0" cy="365020"/>
          </a:xfrm>
          <a:prstGeom prst="line">
            <a:avLst/>
          </a:prstGeom>
          <a:noFill/>
          <a:ln w="19050">
            <a:solidFill>
              <a:schemeClr val="tx1"/>
            </a:solidFill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  <xdr:sp macro="" textlink="">
        <xdr:nvSpPr>
          <xdr:cNvPr id="121" name="TextBox 120"/>
          <xdr:cNvSpPr txBox="1"/>
        </xdr:nvSpPr>
        <xdr:spPr>
          <a:xfrm>
            <a:off x="8271752" y="8250284"/>
            <a:ext cx="153693" cy="2322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vert270" wrap="square" lIns="3600" tIns="21600" rIns="3600" bIns="21600" rtlCol="0" anchor="t">
            <a:noAutofit/>
          </a:bodyPr>
          <a:lstStyle/>
          <a:p>
            <a:r>
              <a:rPr lang="ru-RU" sz="900">
                <a:latin typeface="Arial" pitchFamily="34" charset="0"/>
                <a:cs typeface="Arial" pitchFamily="34" charset="0"/>
              </a:rPr>
              <a:t>Согласовано</a:t>
            </a:r>
          </a:p>
        </xdr:txBody>
      </xdr:sp>
    </xdr:grpSp>
    <xdr:clientData/>
  </xdr:twoCellAnchor>
  <xdr:twoCellAnchor editAs="oneCell">
    <xdr:from>
      <xdr:col>1</xdr:col>
      <xdr:colOff>0</xdr:colOff>
      <xdr:row>44</xdr:row>
      <xdr:rowOff>1049498</xdr:rowOff>
    </xdr:from>
    <xdr:to>
      <xdr:col>5</xdr:col>
      <xdr:colOff>0</xdr:colOff>
      <xdr:row>45</xdr:row>
      <xdr:rowOff>0</xdr:rowOff>
    </xdr:to>
    <xdr:grpSp>
      <xdr:nvGrpSpPr>
        <xdr:cNvPr id="158" name="МШ002"/>
        <xdr:cNvGrpSpPr/>
      </xdr:nvGrpSpPr>
      <xdr:grpSpPr>
        <a:xfrm>
          <a:off x="540327" y="19911076"/>
          <a:ext cx="6242858" cy="563171"/>
          <a:chOff x="542925" y="19956623"/>
          <a:chExt cx="6257925" cy="569752"/>
        </a:xfrm>
      </xdr:grpSpPr>
      <xdr:sp macro="" textlink="">
        <xdr:nvSpPr>
          <xdr:cNvPr id="123" name="Поле_МШ_ДокШифр"/>
          <xdr:cNvSpPr txBox="1">
            <a:spLocks noChangeArrowheads="1"/>
          </xdr:cNvSpPr>
        </xdr:nvSpPr>
        <xdr:spPr bwMode="auto">
          <a:xfrm>
            <a:off x="2744885" y="19966077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124" name="Поле_МШ_Изм1"/>
          <xdr:cNvSpPr txBox="1">
            <a:spLocks noChangeArrowheads="1"/>
          </xdr:cNvSpPr>
        </xdr:nvSpPr>
        <xdr:spPr bwMode="auto">
          <a:xfrm>
            <a:off x="542925" y="20146539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25" name="Поле_МШ_ИзмКол1"/>
          <xdr:cNvSpPr txBox="1">
            <a:spLocks noChangeArrowheads="1"/>
          </xdr:cNvSpPr>
        </xdr:nvSpPr>
        <xdr:spPr bwMode="auto">
          <a:xfrm>
            <a:off x="886076" y="20146539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26" name="Поле_МШ_ИзмЛист1"/>
          <xdr:cNvSpPr txBox="1">
            <a:spLocks noChangeArrowheads="1"/>
          </xdr:cNvSpPr>
        </xdr:nvSpPr>
        <xdr:spPr bwMode="auto">
          <a:xfrm>
            <a:off x="1217330" y="20146539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27" name="Поле_MШ_ИзмДок1"/>
          <xdr:cNvSpPr txBox="1">
            <a:spLocks noChangeArrowheads="1"/>
          </xdr:cNvSpPr>
        </xdr:nvSpPr>
        <xdr:spPr bwMode="auto">
          <a:xfrm>
            <a:off x="1558117" y="20146539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28" name="Поле_МШ_ИзмПодп1"/>
          <xdr:cNvSpPr txBox="1">
            <a:spLocks noChangeArrowheads="1"/>
          </xdr:cNvSpPr>
        </xdr:nvSpPr>
        <xdr:spPr bwMode="auto">
          <a:xfrm>
            <a:off x="1901268" y="20146539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29" name="Поле_МШ_ИзмДата1"/>
          <xdr:cNvSpPr txBox="1">
            <a:spLocks noChangeArrowheads="1"/>
          </xdr:cNvSpPr>
        </xdr:nvSpPr>
        <xdr:spPr bwMode="auto">
          <a:xfrm>
            <a:off x="2404099" y="20146539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0" name="Поле_МШ_Изм2"/>
          <xdr:cNvSpPr txBox="1">
            <a:spLocks noChangeArrowheads="1"/>
          </xdr:cNvSpPr>
        </xdr:nvSpPr>
        <xdr:spPr bwMode="auto">
          <a:xfrm>
            <a:off x="542925" y="19956623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1" name="Поле_МШ_ИзмКол2"/>
          <xdr:cNvSpPr txBox="1">
            <a:spLocks noChangeArrowheads="1"/>
          </xdr:cNvSpPr>
        </xdr:nvSpPr>
        <xdr:spPr bwMode="auto">
          <a:xfrm>
            <a:off x="886076" y="19956623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2" name="Поле_МШ_ИзмЛист2"/>
          <xdr:cNvSpPr txBox="1">
            <a:spLocks noChangeArrowheads="1"/>
          </xdr:cNvSpPr>
        </xdr:nvSpPr>
        <xdr:spPr bwMode="auto">
          <a:xfrm>
            <a:off x="1217330" y="19956623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3" name="Поле_МШ_ИзмДок2"/>
          <xdr:cNvSpPr txBox="1">
            <a:spLocks noChangeArrowheads="1"/>
          </xdr:cNvSpPr>
        </xdr:nvSpPr>
        <xdr:spPr bwMode="auto">
          <a:xfrm>
            <a:off x="1558117" y="19956623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4" name="Поле_МШ_ИзмПодп2"/>
          <xdr:cNvSpPr txBox="1">
            <a:spLocks noChangeArrowheads="1"/>
          </xdr:cNvSpPr>
        </xdr:nvSpPr>
        <xdr:spPr bwMode="auto">
          <a:xfrm>
            <a:off x="1901268" y="19956623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5" name="Поле_МШ_ИзмДата2"/>
          <xdr:cNvSpPr txBox="1">
            <a:spLocks noChangeArrowheads="1"/>
          </xdr:cNvSpPr>
        </xdr:nvSpPr>
        <xdr:spPr bwMode="auto">
          <a:xfrm>
            <a:off x="2404099" y="19956623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36" name="Text Box 155"/>
          <xdr:cNvSpPr txBox="1">
            <a:spLocks noChangeArrowheads="1"/>
          </xdr:cNvSpPr>
        </xdr:nvSpPr>
        <xdr:spPr bwMode="auto">
          <a:xfrm>
            <a:off x="542925" y="20327004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137" name="Text Box 156"/>
          <xdr:cNvSpPr txBox="1">
            <a:spLocks noChangeArrowheads="1"/>
          </xdr:cNvSpPr>
        </xdr:nvSpPr>
        <xdr:spPr bwMode="auto">
          <a:xfrm>
            <a:off x="886076" y="20327004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138" name="Text Box 157"/>
          <xdr:cNvSpPr txBox="1">
            <a:spLocks noChangeArrowheads="1"/>
          </xdr:cNvSpPr>
        </xdr:nvSpPr>
        <xdr:spPr bwMode="auto">
          <a:xfrm>
            <a:off x="1217330" y="20327004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139" name="Text Box 158"/>
          <xdr:cNvSpPr txBox="1">
            <a:spLocks noChangeArrowheads="1"/>
          </xdr:cNvSpPr>
        </xdr:nvSpPr>
        <xdr:spPr bwMode="auto">
          <a:xfrm>
            <a:off x="1558117" y="20327004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140" name="Text Box 159"/>
          <xdr:cNvSpPr txBox="1">
            <a:spLocks noChangeArrowheads="1"/>
          </xdr:cNvSpPr>
        </xdr:nvSpPr>
        <xdr:spPr bwMode="auto">
          <a:xfrm>
            <a:off x="1901268" y="20327004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141" name="Text Box 160"/>
          <xdr:cNvSpPr txBox="1">
            <a:spLocks noChangeArrowheads="1"/>
          </xdr:cNvSpPr>
        </xdr:nvSpPr>
        <xdr:spPr bwMode="auto">
          <a:xfrm>
            <a:off x="6463477" y="19956623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142" name="Text Box 161"/>
          <xdr:cNvSpPr txBox="1">
            <a:spLocks noChangeArrowheads="1"/>
          </xdr:cNvSpPr>
        </xdr:nvSpPr>
        <xdr:spPr bwMode="auto">
          <a:xfrm>
            <a:off x="2404099" y="20327004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143" name="Поле_МШ_Лист"/>
          <xdr:cNvSpPr txBox="1">
            <a:spLocks noChangeArrowheads="1"/>
          </xdr:cNvSpPr>
        </xdr:nvSpPr>
        <xdr:spPr bwMode="auto">
          <a:xfrm>
            <a:off x="6462789" y="20149699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2</a:t>
            </a:r>
          </a:p>
        </xdr:txBody>
      </xdr:sp>
      <xdr:sp macro="" textlink="">
        <xdr:nvSpPr>
          <xdr:cNvPr id="144" name="Line 163"/>
          <xdr:cNvSpPr>
            <a:spLocks noChangeShapeType="1"/>
          </xdr:cNvSpPr>
        </xdr:nvSpPr>
        <xdr:spPr bwMode="auto">
          <a:xfrm>
            <a:off x="542925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" name="Line 164"/>
          <xdr:cNvSpPr>
            <a:spLocks noChangeShapeType="1"/>
          </xdr:cNvSpPr>
        </xdr:nvSpPr>
        <xdr:spPr bwMode="auto">
          <a:xfrm>
            <a:off x="6800850" y="19956623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" name="Line 165"/>
          <xdr:cNvSpPr>
            <a:spLocks noChangeShapeType="1"/>
          </xdr:cNvSpPr>
        </xdr:nvSpPr>
        <xdr:spPr bwMode="auto">
          <a:xfrm>
            <a:off x="886076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7" name="Line 166"/>
          <xdr:cNvSpPr>
            <a:spLocks noChangeShapeType="1"/>
          </xdr:cNvSpPr>
        </xdr:nvSpPr>
        <xdr:spPr bwMode="auto">
          <a:xfrm>
            <a:off x="1217330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8" name="Line 167"/>
          <xdr:cNvSpPr>
            <a:spLocks noChangeShapeType="1"/>
          </xdr:cNvSpPr>
        </xdr:nvSpPr>
        <xdr:spPr bwMode="auto">
          <a:xfrm>
            <a:off x="1558117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9" name="Line 168"/>
          <xdr:cNvSpPr>
            <a:spLocks noChangeShapeType="1"/>
          </xdr:cNvSpPr>
        </xdr:nvSpPr>
        <xdr:spPr bwMode="auto">
          <a:xfrm>
            <a:off x="1901268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0" name="Line 169"/>
          <xdr:cNvSpPr>
            <a:spLocks noChangeShapeType="1"/>
          </xdr:cNvSpPr>
        </xdr:nvSpPr>
        <xdr:spPr bwMode="auto">
          <a:xfrm>
            <a:off x="2394567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" name="Line 170"/>
          <xdr:cNvSpPr>
            <a:spLocks noChangeShapeType="1"/>
          </xdr:cNvSpPr>
        </xdr:nvSpPr>
        <xdr:spPr bwMode="auto">
          <a:xfrm>
            <a:off x="2744885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" name="Line 171"/>
          <xdr:cNvSpPr>
            <a:spLocks noChangeShapeType="1"/>
          </xdr:cNvSpPr>
        </xdr:nvSpPr>
        <xdr:spPr bwMode="auto">
          <a:xfrm>
            <a:off x="542925" y="19956623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" name="Line 172"/>
          <xdr:cNvSpPr>
            <a:spLocks noChangeShapeType="1"/>
          </xdr:cNvSpPr>
        </xdr:nvSpPr>
        <xdr:spPr bwMode="auto">
          <a:xfrm>
            <a:off x="542925" y="20526375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" name="Line 173"/>
          <xdr:cNvSpPr>
            <a:spLocks noChangeShapeType="1"/>
          </xdr:cNvSpPr>
        </xdr:nvSpPr>
        <xdr:spPr bwMode="auto">
          <a:xfrm>
            <a:off x="542925" y="20146539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5" name="Line 174"/>
          <xdr:cNvSpPr>
            <a:spLocks noChangeShapeType="1"/>
          </xdr:cNvSpPr>
        </xdr:nvSpPr>
        <xdr:spPr bwMode="auto">
          <a:xfrm>
            <a:off x="542925" y="20327004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175"/>
          <xdr:cNvSpPr>
            <a:spLocks noChangeShapeType="1"/>
          </xdr:cNvSpPr>
        </xdr:nvSpPr>
        <xdr:spPr bwMode="auto">
          <a:xfrm>
            <a:off x="6457699" y="20145898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176"/>
          <xdr:cNvSpPr>
            <a:spLocks noChangeShapeType="1"/>
          </xdr:cNvSpPr>
        </xdr:nvSpPr>
        <xdr:spPr bwMode="auto">
          <a:xfrm>
            <a:off x="6457700" y="19956623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39</xdr:row>
      <xdr:rowOff>104775</xdr:rowOff>
    </xdr:from>
    <xdr:to>
      <xdr:col>1</xdr:col>
      <xdr:colOff>0</xdr:colOff>
      <xdr:row>45</xdr:row>
      <xdr:rowOff>0</xdr:rowOff>
    </xdr:to>
    <xdr:grpSp>
      <xdr:nvGrpSpPr>
        <xdr:cNvPr id="159" name="БкШ002"/>
        <xdr:cNvGrpSpPr>
          <a:grpSpLocks/>
        </xdr:cNvGrpSpPr>
      </xdr:nvGrpSpPr>
      <xdr:grpSpPr bwMode="auto">
        <a:xfrm>
          <a:off x="114300" y="17303808"/>
          <a:ext cx="426027" cy="3170439"/>
          <a:chOff x="254532" y="6452366"/>
          <a:chExt cx="432712" cy="3225034"/>
        </a:xfrm>
      </xdr:grpSpPr>
      <xdr:sp macro="" textlink="">
        <xdr:nvSpPr>
          <xdr:cNvPr id="160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1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2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3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4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167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168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169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0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69</xdr:row>
      <xdr:rowOff>1125700</xdr:rowOff>
    </xdr:from>
    <xdr:to>
      <xdr:col>5</xdr:col>
      <xdr:colOff>0</xdr:colOff>
      <xdr:row>70</xdr:row>
      <xdr:rowOff>2</xdr:rowOff>
    </xdr:to>
    <xdr:grpSp>
      <xdr:nvGrpSpPr>
        <xdr:cNvPr id="207" name="МШ003"/>
        <xdr:cNvGrpSpPr/>
      </xdr:nvGrpSpPr>
      <xdr:grpSpPr>
        <a:xfrm>
          <a:off x="540327" y="29896049"/>
          <a:ext cx="6242858" cy="570098"/>
          <a:chOff x="542925" y="30005500"/>
          <a:chExt cx="6257925" cy="569752"/>
        </a:xfrm>
      </xdr:grpSpPr>
      <xdr:sp macro="" textlink="">
        <xdr:nvSpPr>
          <xdr:cNvPr id="172" name="Поле_МШ_ДокШифр"/>
          <xdr:cNvSpPr txBox="1">
            <a:spLocks noChangeArrowheads="1"/>
          </xdr:cNvSpPr>
        </xdr:nvSpPr>
        <xdr:spPr bwMode="auto">
          <a:xfrm>
            <a:off x="2744885" y="30014954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173" name="Поле_МШ_Изм1"/>
          <xdr:cNvSpPr txBox="1">
            <a:spLocks noChangeArrowheads="1"/>
          </xdr:cNvSpPr>
        </xdr:nvSpPr>
        <xdr:spPr bwMode="auto">
          <a:xfrm>
            <a:off x="542925" y="30195416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4" name="Поле_МШ_ИзмКол1"/>
          <xdr:cNvSpPr txBox="1">
            <a:spLocks noChangeArrowheads="1"/>
          </xdr:cNvSpPr>
        </xdr:nvSpPr>
        <xdr:spPr bwMode="auto">
          <a:xfrm>
            <a:off x="886076" y="3019541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5" name="Поле_МШ_ИзмЛист1"/>
          <xdr:cNvSpPr txBox="1">
            <a:spLocks noChangeArrowheads="1"/>
          </xdr:cNvSpPr>
        </xdr:nvSpPr>
        <xdr:spPr bwMode="auto">
          <a:xfrm>
            <a:off x="1217330" y="3019541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6" name="Поле_MШ_ИзмДок1"/>
          <xdr:cNvSpPr txBox="1">
            <a:spLocks noChangeArrowheads="1"/>
          </xdr:cNvSpPr>
        </xdr:nvSpPr>
        <xdr:spPr bwMode="auto">
          <a:xfrm>
            <a:off x="1558117" y="30195416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7" name="Поле_МШ_ИзмПодп1"/>
          <xdr:cNvSpPr txBox="1">
            <a:spLocks noChangeArrowheads="1"/>
          </xdr:cNvSpPr>
        </xdr:nvSpPr>
        <xdr:spPr bwMode="auto">
          <a:xfrm>
            <a:off x="1901268" y="30195416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8" name="Поле_МШ_ИзмДата1"/>
          <xdr:cNvSpPr txBox="1">
            <a:spLocks noChangeArrowheads="1"/>
          </xdr:cNvSpPr>
        </xdr:nvSpPr>
        <xdr:spPr bwMode="auto">
          <a:xfrm>
            <a:off x="2404099" y="3019541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79" name="Поле_МШ_Изм2"/>
          <xdr:cNvSpPr txBox="1">
            <a:spLocks noChangeArrowheads="1"/>
          </xdr:cNvSpPr>
        </xdr:nvSpPr>
        <xdr:spPr bwMode="auto">
          <a:xfrm>
            <a:off x="542925" y="30005500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0" name="Поле_МШ_ИзмКол2"/>
          <xdr:cNvSpPr txBox="1">
            <a:spLocks noChangeArrowheads="1"/>
          </xdr:cNvSpPr>
        </xdr:nvSpPr>
        <xdr:spPr bwMode="auto">
          <a:xfrm>
            <a:off x="886076" y="3000550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1" name="Поле_МШ_ИзмЛист2"/>
          <xdr:cNvSpPr txBox="1">
            <a:spLocks noChangeArrowheads="1"/>
          </xdr:cNvSpPr>
        </xdr:nvSpPr>
        <xdr:spPr bwMode="auto">
          <a:xfrm>
            <a:off x="1217330" y="3000550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2" name="Поле_МШ_ИзмДок2"/>
          <xdr:cNvSpPr txBox="1">
            <a:spLocks noChangeArrowheads="1"/>
          </xdr:cNvSpPr>
        </xdr:nvSpPr>
        <xdr:spPr bwMode="auto">
          <a:xfrm>
            <a:off x="1558117" y="30005500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3" name="Поле_МШ_ИзмПодп2"/>
          <xdr:cNvSpPr txBox="1">
            <a:spLocks noChangeArrowheads="1"/>
          </xdr:cNvSpPr>
        </xdr:nvSpPr>
        <xdr:spPr bwMode="auto">
          <a:xfrm>
            <a:off x="1901268" y="30005500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4" name="Поле_МШ_ИзмДата2"/>
          <xdr:cNvSpPr txBox="1">
            <a:spLocks noChangeArrowheads="1"/>
          </xdr:cNvSpPr>
        </xdr:nvSpPr>
        <xdr:spPr bwMode="auto">
          <a:xfrm>
            <a:off x="2404099" y="3000550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185" name="Text Box 155"/>
          <xdr:cNvSpPr txBox="1">
            <a:spLocks noChangeArrowheads="1"/>
          </xdr:cNvSpPr>
        </xdr:nvSpPr>
        <xdr:spPr bwMode="auto">
          <a:xfrm>
            <a:off x="542925" y="30375881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186" name="Text Box 156"/>
          <xdr:cNvSpPr txBox="1">
            <a:spLocks noChangeArrowheads="1"/>
          </xdr:cNvSpPr>
        </xdr:nvSpPr>
        <xdr:spPr bwMode="auto">
          <a:xfrm>
            <a:off x="886076" y="30375881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187" name="Text Box 157"/>
          <xdr:cNvSpPr txBox="1">
            <a:spLocks noChangeArrowheads="1"/>
          </xdr:cNvSpPr>
        </xdr:nvSpPr>
        <xdr:spPr bwMode="auto">
          <a:xfrm>
            <a:off x="1217330" y="30375881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188" name="Text Box 158"/>
          <xdr:cNvSpPr txBox="1">
            <a:spLocks noChangeArrowheads="1"/>
          </xdr:cNvSpPr>
        </xdr:nvSpPr>
        <xdr:spPr bwMode="auto">
          <a:xfrm>
            <a:off x="1558117" y="30375881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189" name="Text Box 159"/>
          <xdr:cNvSpPr txBox="1">
            <a:spLocks noChangeArrowheads="1"/>
          </xdr:cNvSpPr>
        </xdr:nvSpPr>
        <xdr:spPr bwMode="auto">
          <a:xfrm>
            <a:off x="1901268" y="30375881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190" name="Text Box 160"/>
          <xdr:cNvSpPr txBox="1">
            <a:spLocks noChangeArrowheads="1"/>
          </xdr:cNvSpPr>
        </xdr:nvSpPr>
        <xdr:spPr bwMode="auto">
          <a:xfrm>
            <a:off x="6463477" y="30005500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191" name="Text Box 161"/>
          <xdr:cNvSpPr txBox="1">
            <a:spLocks noChangeArrowheads="1"/>
          </xdr:cNvSpPr>
        </xdr:nvSpPr>
        <xdr:spPr bwMode="auto">
          <a:xfrm>
            <a:off x="2404099" y="30375881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192" name="Поле_МШ_Лист"/>
          <xdr:cNvSpPr txBox="1">
            <a:spLocks noChangeArrowheads="1"/>
          </xdr:cNvSpPr>
        </xdr:nvSpPr>
        <xdr:spPr bwMode="auto">
          <a:xfrm>
            <a:off x="6462789" y="30198576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3</a:t>
            </a:r>
          </a:p>
        </xdr:txBody>
      </xdr:sp>
      <xdr:sp macro="" textlink="">
        <xdr:nvSpPr>
          <xdr:cNvPr id="193" name="Line 163"/>
          <xdr:cNvSpPr>
            <a:spLocks noChangeShapeType="1"/>
          </xdr:cNvSpPr>
        </xdr:nvSpPr>
        <xdr:spPr bwMode="auto">
          <a:xfrm>
            <a:off x="542925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4" name="Line 164"/>
          <xdr:cNvSpPr>
            <a:spLocks noChangeShapeType="1"/>
          </xdr:cNvSpPr>
        </xdr:nvSpPr>
        <xdr:spPr bwMode="auto">
          <a:xfrm>
            <a:off x="6800850" y="30005500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5" name="Line 165"/>
          <xdr:cNvSpPr>
            <a:spLocks noChangeShapeType="1"/>
          </xdr:cNvSpPr>
        </xdr:nvSpPr>
        <xdr:spPr bwMode="auto">
          <a:xfrm>
            <a:off x="886076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6" name="Line 166"/>
          <xdr:cNvSpPr>
            <a:spLocks noChangeShapeType="1"/>
          </xdr:cNvSpPr>
        </xdr:nvSpPr>
        <xdr:spPr bwMode="auto">
          <a:xfrm>
            <a:off x="1217330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7" name="Line 167"/>
          <xdr:cNvSpPr>
            <a:spLocks noChangeShapeType="1"/>
          </xdr:cNvSpPr>
        </xdr:nvSpPr>
        <xdr:spPr bwMode="auto">
          <a:xfrm>
            <a:off x="1558117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8" name="Line 168"/>
          <xdr:cNvSpPr>
            <a:spLocks noChangeShapeType="1"/>
          </xdr:cNvSpPr>
        </xdr:nvSpPr>
        <xdr:spPr bwMode="auto">
          <a:xfrm>
            <a:off x="1901268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9" name="Line 169"/>
          <xdr:cNvSpPr>
            <a:spLocks noChangeShapeType="1"/>
          </xdr:cNvSpPr>
        </xdr:nvSpPr>
        <xdr:spPr bwMode="auto">
          <a:xfrm>
            <a:off x="2394567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0" name="Line 170"/>
          <xdr:cNvSpPr>
            <a:spLocks noChangeShapeType="1"/>
          </xdr:cNvSpPr>
        </xdr:nvSpPr>
        <xdr:spPr bwMode="auto">
          <a:xfrm>
            <a:off x="2744885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" name="Line 171"/>
          <xdr:cNvSpPr>
            <a:spLocks noChangeShapeType="1"/>
          </xdr:cNvSpPr>
        </xdr:nvSpPr>
        <xdr:spPr bwMode="auto">
          <a:xfrm>
            <a:off x="542925" y="30005500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" name="Line 172"/>
          <xdr:cNvSpPr>
            <a:spLocks noChangeShapeType="1"/>
          </xdr:cNvSpPr>
        </xdr:nvSpPr>
        <xdr:spPr bwMode="auto">
          <a:xfrm>
            <a:off x="542925" y="30575252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" name="Line 173"/>
          <xdr:cNvSpPr>
            <a:spLocks noChangeShapeType="1"/>
          </xdr:cNvSpPr>
        </xdr:nvSpPr>
        <xdr:spPr bwMode="auto">
          <a:xfrm>
            <a:off x="542925" y="30195416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" name="Line 174"/>
          <xdr:cNvSpPr>
            <a:spLocks noChangeShapeType="1"/>
          </xdr:cNvSpPr>
        </xdr:nvSpPr>
        <xdr:spPr bwMode="auto">
          <a:xfrm>
            <a:off x="542925" y="30375881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" name="Line 175"/>
          <xdr:cNvSpPr>
            <a:spLocks noChangeShapeType="1"/>
          </xdr:cNvSpPr>
        </xdr:nvSpPr>
        <xdr:spPr bwMode="auto">
          <a:xfrm>
            <a:off x="6457699" y="30194775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" name="Line 176"/>
          <xdr:cNvSpPr>
            <a:spLocks noChangeShapeType="1"/>
          </xdr:cNvSpPr>
        </xdr:nvSpPr>
        <xdr:spPr bwMode="auto">
          <a:xfrm>
            <a:off x="6457700" y="3000550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65</xdr:row>
      <xdr:rowOff>0</xdr:rowOff>
    </xdr:from>
    <xdr:to>
      <xdr:col>1</xdr:col>
      <xdr:colOff>0</xdr:colOff>
      <xdr:row>70</xdr:row>
      <xdr:rowOff>0</xdr:rowOff>
    </xdr:to>
    <xdr:grpSp>
      <xdr:nvGrpSpPr>
        <xdr:cNvPr id="208" name="БкШ003"/>
        <xdr:cNvGrpSpPr>
          <a:grpSpLocks/>
        </xdr:cNvGrpSpPr>
      </xdr:nvGrpSpPr>
      <xdr:grpSpPr bwMode="auto">
        <a:xfrm>
          <a:off x="114300" y="27307309"/>
          <a:ext cx="426027" cy="3158836"/>
          <a:chOff x="254532" y="6452366"/>
          <a:chExt cx="432712" cy="3225034"/>
        </a:xfrm>
      </xdr:grpSpPr>
      <xdr:sp macro="" textlink="">
        <xdr:nvSpPr>
          <xdr:cNvPr id="209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0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1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2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3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4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216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217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218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94</xdr:row>
      <xdr:rowOff>1316200</xdr:rowOff>
    </xdr:from>
    <xdr:to>
      <xdr:col>5</xdr:col>
      <xdr:colOff>0</xdr:colOff>
      <xdr:row>95</xdr:row>
      <xdr:rowOff>2</xdr:rowOff>
    </xdr:to>
    <xdr:grpSp>
      <xdr:nvGrpSpPr>
        <xdr:cNvPr id="256" name="МШ004"/>
        <xdr:cNvGrpSpPr/>
      </xdr:nvGrpSpPr>
      <xdr:grpSpPr>
        <a:xfrm>
          <a:off x="540327" y="39912193"/>
          <a:ext cx="6242858" cy="570791"/>
          <a:chOff x="542925" y="40054375"/>
          <a:chExt cx="6257925" cy="569752"/>
        </a:xfrm>
      </xdr:grpSpPr>
      <xdr:sp macro="" textlink="">
        <xdr:nvSpPr>
          <xdr:cNvPr id="221" name="Поле_МШ_ДокШифр"/>
          <xdr:cNvSpPr txBox="1">
            <a:spLocks noChangeArrowheads="1"/>
          </xdr:cNvSpPr>
        </xdr:nvSpPr>
        <xdr:spPr bwMode="auto">
          <a:xfrm>
            <a:off x="2744885" y="40063829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222" name="Поле_МШ_Изм1"/>
          <xdr:cNvSpPr txBox="1">
            <a:spLocks noChangeArrowheads="1"/>
          </xdr:cNvSpPr>
        </xdr:nvSpPr>
        <xdr:spPr bwMode="auto">
          <a:xfrm>
            <a:off x="542925" y="40244291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3" name="Поле_МШ_ИзмКол1"/>
          <xdr:cNvSpPr txBox="1">
            <a:spLocks noChangeArrowheads="1"/>
          </xdr:cNvSpPr>
        </xdr:nvSpPr>
        <xdr:spPr bwMode="auto">
          <a:xfrm>
            <a:off x="886076" y="40244291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4" name="Поле_МШ_ИзмЛист1"/>
          <xdr:cNvSpPr txBox="1">
            <a:spLocks noChangeArrowheads="1"/>
          </xdr:cNvSpPr>
        </xdr:nvSpPr>
        <xdr:spPr bwMode="auto">
          <a:xfrm>
            <a:off x="1217330" y="40244291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5" name="Поле_MШ_ИзмДок1"/>
          <xdr:cNvSpPr txBox="1">
            <a:spLocks noChangeArrowheads="1"/>
          </xdr:cNvSpPr>
        </xdr:nvSpPr>
        <xdr:spPr bwMode="auto">
          <a:xfrm>
            <a:off x="1558117" y="40244291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6" name="Поле_МШ_ИзмПодп1"/>
          <xdr:cNvSpPr txBox="1">
            <a:spLocks noChangeArrowheads="1"/>
          </xdr:cNvSpPr>
        </xdr:nvSpPr>
        <xdr:spPr bwMode="auto">
          <a:xfrm>
            <a:off x="1901268" y="40244291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7" name="Поле_МШ_ИзмДата1"/>
          <xdr:cNvSpPr txBox="1">
            <a:spLocks noChangeArrowheads="1"/>
          </xdr:cNvSpPr>
        </xdr:nvSpPr>
        <xdr:spPr bwMode="auto">
          <a:xfrm>
            <a:off x="2404099" y="40244291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8" name="Поле_МШ_Изм2"/>
          <xdr:cNvSpPr txBox="1">
            <a:spLocks noChangeArrowheads="1"/>
          </xdr:cNvSpPr>
        </xdr:nvSpPr>
        <xdr:spPr bwMode="auto">
          <a:xfrm>
            <a:off x="542925" y="40054375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29" name="Поле_МШ_ИзмКол2"/>
          <xdr:cNvSpPr txBox="1">
            <a:spLocks noChangeArrowheads="1"/>
          </xdr:cNvSpPr>
        </xdr:nvSpPr>
        <xdr:spPr bwMode="auto">
          <a:xfrm>
            <a:off x="886076" y="40054375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0" name="Поле_МШ_ИзмЛист2"/>
          <xdr:cNvSpPr txBox="1">
            <a:spLocks noChangeArrowheads="1"/>
          </xdr:cNvSpPr>
        </xdr:nvSpPr>
        <xdr:spPr bwMode="auto">
          <a:xfrm>
            <a:off x="1217330" y="40054375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1" name="Поле_МШ_ИзмДок2"/>
          <xdr:cNvSpPr txBox="1">
            <a:spLocks noChangeArrowheads="1"/>
          </xdr:cNvSpPr>
        </xdr:nvSpPr>
        <xdr:spPr bwMode="auto">
          <a:xfrm>
            <a:off x="1558117" y="40054375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2" name="Поле_МШ_ИзмПодп2"/>
          <xdr:cNvSpPr txBox="1">
            <a:spLocks noChangeArrowheads="1"/>
          </xdr:cNvSpPr>
        </xdr:nvSpPr>
        <xdr:spPr bwMode="auto">
          <a:xfrm>
            <a:off x="1901268" y="40054375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3" name="Поле_МШ_ИзмДата2"/>
          <xdr:cNvSpPr txBox="1">
            <a:spLocks noChangeArrowheads="1"/>
          </xdr:cNvSpPr>
        </xdr:nvSpPr>
        <xdr:spPr bwMode="auto">
          <a:xfrm>
            <a:off x="2404099" y="40054375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34" name="Text Box 155"/>
          <xdr:cNvSpPr txBox="1">
            <a:spLocks noChangeArrowheads="1"/>
          </xdr:cNvSpPr>
        </xdr:nvSpPr>
        <xdr:spPr bwMode="auto">
          <a:xfrm>
            <a:off x="542925" y="40424756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235" name="Text Box 156"/>
          <xdr:cNvSpPr txBox="1">
            <a:spLocks noChangeArrowheads="1"/>
          </xdr:cNvSpPr>
        </xdr:nvSpPr>
        <xdr:spPr bwMode="auto">
          <a:xfrm>
            <a:off x="886076" y="40424756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236" name="Text Box 157"/>
          <xdr:cNvSpPr txBox="1">
            <a:spLocks noChangeArrowheads="1"/>
          </xdr:cNvSpPr>
        </xdr:nvSpPr>
        <xdr:spPr bwMode="auto">
          <a:xfrm>
            <a:off x="1217330" y="40424756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237" name="Text Box 158"/>
          <xdr:cNvSpPr txBox="1">
            <a:spLocks noChangeArrowheads="1"/>
          </xdr:cNvSpPr>
        </xdr:nvSpPr>
        <xdr:spPr bwMode="auto">
          <a:xfrm>
            <a:off x="1558117" y="40424756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238" name="Text Box 159"/>
          <xdr:cNvSpPr txBox="1">
            <a:spLocks noChangeArrowheads="1"/>
          </xdr:cNvSpPr>
        </xdr:nvSpPr>
        <xdr:spPr bwMode="auto">
          <a:xfrm>
            <a:off x="1901268" y="40424756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239" name="Text Box 160"/>
          <xdr:cNvSpPr txBox="1">
            <a:spLocks noChangeArrowheads="1"/>
          </xdr:cNvSpPr>
        </xdr:nvSpPr>
        <xdr:spPr bwMode="auto">
          <a:xfrm>
            <a:off x="6463477" y="40054375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240" name="Text Box 161"/>
          <xdr:cNvSpPr txBox="1">
            <a:spLocks noChangeArrowheads="1"/>
          </xdr:cNvSpPr>
        </xdr:nvSpPr>
        <xdr:spPr bwMode="auto">
          <a:xfrm>
            <a:off x="2404099" y="40424756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241" name="Поле_МШ_Лист"/>
          <xdr:cNvSpPr txBox="1">
            <a:spLocks noChangeArrowheads="1"/>
          </xdr:cNvSpPr>
        </xdr:nvSpPr>
        <xdr:spPr bwMode="auto">
          <a:xfrm>
            <a:off x="6462789" y="40247451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4</a:t>
            </a:r>
          </a:p>
        </xdr:txBody>
      </xdr:sp>
      <xdr:sp macro="" textlink="">
        <xdr:nvSpPr>
          <xdr:cNvPr id="242" name="Line 163"/>
          <xdr:cNvSpPr>
            <a:spLocks noChangeShapeType="1"/>
          </xdr:cNvSpPr>
        </xdr:nvSpPr>
        <xdr:spPr bwMode="auto">
          <a:xfrm>
            <a:off x="542925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3" name="Line 164"/>
          <xdr:cNvSpPr>
            <a:spLocks noChangeShapeType="1"/>
          </xdr:cNvSpPr>
        </xdr:nvSpPr>
        <xdr:spPr bwMode="auto">
          <a:xfrm>
            <a:off x="6800850" y="40054375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4" name="Line 165"/>
          <xdr:cNvSpPr>
            <a:spLocks noChangeShapeType="1"/>
          </xdr:cNvSpPr>
        </xdr:nvSpPr>
        <xdr:spPr bwMode="auto">
          <a:xfrm>
            <a:off x="886076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5" name="Line 166"/>
          <xdr:cNvSpPr>
            <a:spLocks noChangeShapeType="1"/>
          </xdr:cNvSpPr>
        </xdr:nvSpPr>
        <xdr:spPr bwMode="auto">
          <a:xfrm>
            <a:off x="1217330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6" name="Line 167"/>
          <xdr:cNvSpPr>
            <a:spLocks noChangeShapeType="1"/>
          </xdr:cNvSpPr>
        </xdr:nvSpPr>
        <xdr:spPr bwMode="auto">
          <a:xfrm>
            <a:off x="1558117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7" name="Line 168"/>
          <xdr:cNvSpPr>
            <a:spLocks noChangeShapeType="1"/>
          </xdr:cNvSpPr>
        </xdr:nvSpPr>
        <xdr:spPr bwMode="auto">
          <a:xfrm>
            <a:off x="1901268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8" name="Line 169"/>
          <xdr:cNvSpPr>
            <a:spLocks noChangeShapeType="1"/>
          </xdr:cNvSpPr>
        </xdr:nvSpPr>
        <xdr:spPr bwMode="auto">
          <a:xfrm>
            <a:off x="2394567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9" name="Line 170"/>
          <xdr:cNvSpPr>
            <a:spLocks noChangeShapeType="1"/>
          </xdr:cNvSpPr>
        </xdr:nvSpPr>
        <xdr:spPr bwMode="auto">
          <a:xfrm>
            <a:off x="2744885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0" name="Line 171"/>
          <xdr:cNvSpPr>
            <a:spLocks noChangeShapeType="1"/>
          </xdr:cNvSpPr>
        </xdr:nvSpPr>
        <xdr:spPr bwMode="auto">
          <a:xfrm>
            <a:off x="542925" y="40054375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1" name="Line 172"/>
          <xdr:cNvSpPr>
            <a:spLocks noChangeShapeType="1"/>
          </xdr:cNvSpPr>
        </xdr:nvSpPr>
        <xdr:spPr bwMode="auto">
          <a:xfrm>
            <a:off x="542925" y="40624127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2" name="Line 173"/>
          <xdr:cNvSpPr>
            <a:spLocks noChangeShapeType="1"/>
          </xdr:cNvSpPr>
        </xdr:nvSpPr>
        <xdr:spPr bwMode="auto">
          <a:xfrm>
            <a:off x="542925" y="40244291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3" name="Line 174"/>
          <xdr:cNvSpPr>
            <a:spLocks noChangeShapeType="1"/>
          </xdr:cNvSpPr>
        </xdr:nvSpPr>
        <xdr:spPr bwMode="auto">
          <a:xfrm>
            <a:off x="542925" y="40424756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4" name="Line 175"/>
          <xdr:cNvSpPr>
            <a:spLocks noChangeShapeType="1"/>
          </xdr:cNvSpPr>
        </xdr:nvSpPr>
        <xdr:spPr bwMode="auto">
          <a:xfrm>
            <a:off x="6457699" y="40243650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5" name="Line 176"/>
          <xdr:cNvSpPr>
            <a:spLocks noChangeShapeType="1"/>
          </xdr:cNvSpPr>
        </xdr:nvSpPr>
        <xdr:spPr bwMode="auto">
          <a:xfrm>
            <a:off x="6457700" y="40054375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90</xdr:row>
      <xdr:rowOff>266700</xdr:rowOff>
    </xdr:from>
    <xdr:to>
      <xdr:col>1</xdr:col>
      <xdr:colOff>0</xdr:colOff>
      <xdr:row>95</xdr:row>
      <xdr:rowOff>0</xdr:rowOff>
    </xdr:to>
    <xdr:grpSp>
      <xdr:nvGrpSpPr>
        <xdr:cNvPr id="257" name="БкШ004"/>
        <xdr:cNvGrpSpPr>
          <a:grpSpLocks/>
        </xdr:cNvGrpSpPr>
      </xdr:nvGrpSpPr>
      <xdr:grpSpPr bwMode="auto">
        <a:xfrm>
          <a:off x="114300" y="37299900"/>
          <a:ext cx="426027" cy="3183082"/>
          <a:chOff x="254532" y="6452366"/>
          <a:chExt cx="432712" cy="3225034"/>
        </a:xfrm>
      </xdr:grpSpPr>
      <xdr:sp macro="" textlink="">
        <xdr:nvSpPr>
          <xdr:cNvPr id="258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9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0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1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2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3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4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265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266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267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68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119</xdr:row>
      <xdr:rowOff>1392400</xdr:rowOff>
    </xdr:from>
    <xdr:to>
      <xdr:col>5</xdr:col>
      <xdr:colOff>0</xdr:colOff>
      <xdr:row>120</xdr:row>
      <xdr:rowOff>2</xdr:rowOff>
    </xdr:to>
    <xdr:grpSp>
      <xdr:nvGrpSpPr>
        <xdr:cNvPr id="305" name="МШ005"/>
        <xdr:cNvGrpSpPr/>
      </xdr:nvGrpSpPr>
      <xdr:grpSpPr>
        <a:xfrm>
          <a:off x="540327" y="49905476"/>
          <a:ext cx="6242858" cy="569406"/>
          <a:chOff x="542925" y="50103250"/>
          <a:chExt cx="6257925" cy="569752"/>
        </a:xfrm>
      </xdr:grpSpPr>
      <xdr:sp macro="" textlink="">
        <xdr:nvSpPr>
          <xdr:cNvPr id="270" name="Поле_МШ_ДокШифр"/>
          <xdr:cNvSpPr txBox="1">
            <a:spLocks noChangeArrowheads="1"/>
          </xdr:cNvSpPr>
        </xdr:nvSpPr>
        <xdr:spPr bwMode="auto">
          <a:xfrm>
            <a:off x="2744885" y="50112704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271" name="Поле_МШ_Изм1"/>
          <xdr:cNvSpPr txBox="1">
            <a:spLocks noChangeArrowheads="1"/>
          </xdr:cNvSpPr>
        </xdr:nvSpPr>
        <xdr:spPr bwMode="auto">
          <a:xfrm>
            <a:off x="542925" y="50293166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2" name="Поле_МШ_ИзмКол1"/>
          <xdr:cNvSpPr txBox="1">
            <a:spLocks noChangeArrowheads="1"/>
          </xdr:cNvSpPr>
        </xdr:nvSpPr>
        <xdr:spPr bwMode="auto">
          <a:xfrm>
            <a:off x="886076" y="5029316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3" name="Поле_МШ_ИзмЛист1"/>
          <xdr:cNvSpPr txBox="1">
            <a:spLocks noChangeArrowheads="1"/>
          </xdr:cNvSpPr>
        </xdr:nvSpPr>
        <xdr:spPr bwMode="auto">
          <a:xfrm>
            <a:off x="1217330" y="5029316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4" name="Поле_MШ_ИзмДок1"/>
          <xdr:cNvSpPr txBox="1">
            <a:spLocks noChangeArrowheads="1"/>
          </xdr:cNvSpPr>
        </xdr:nvSpPr>
        <xdr:spPr bwMode="auto">
          <a:xfrm>
            <a:off x="1558117" y="50293166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5" name="Поле_МШ_ИзмПодп1"/>
          <xdr:cNvSpPr txBox="1">
            <a:spLocks noChangeArrowheads="1"/>
          </xdr:cNvSpPr>
        </xdr:nvSpPr>
        <xdr:spPr bwMode="auto">
          <a:xfrm>
            <a:off x="1901268" y="50293166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6" name="Поле_МШ_ИзмДата1"/>
          <xdr:cNvSpPr txBox="1">
            <a:spLocks noChangeArrowheads="1"/>
          </xdr:cNvSpPr>
        </xdr:nvSpPr>
        <xdr:spPr bwMode="auto">
          <a:xfrm>
            <a:off x="2404099" y="50293166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7" name="Поле_МШ_Изм2"/>
          <xdr:cNvSpPr txBox="1">
            <a:spLocks noChangeArrowheads="1"/>
          </xdr:cNvSpPr>
        </xdr:nvSpPr>
        <xdr:spPr bwMode="auto">
          <a:xfrm>
            <a:off x="542925" y="50103250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8" name="Поле_МШ_ИзмКол2"/>
          <xdr:cNvSpPr txBox="1">
            <a:spLocks noChangeArrowheads="1"/>
          </xdr:cNvSpPr>
        </xdr:nvSpPr>
        <xdr:spPr bwMode="auto">
          <a:xfrm>
            <a:off x="886076" y="5010325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79" name="Поле_МШ_ИзмЛист2"/>
          <xdr:cNvSpPr txBox="1">
            <a:spLocks noChangeArrowheads="1"/>
          </xdr:cNvSpPr>
        </xdr:nvSpPr>
        <xdr:spPr bwMode="auto">
          <a:xfrm>
            <a:off x="1217330" y="5010325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80" name="Поле_МШ_ИзмДок2"/>
          <xdr:cNvSpPr txBox="1">
            <a:spLocks noChangeArrowheads="1"/>
          </xdr:cNvSpPr>
        </xdr:nvSpPr>
        <xdr:spPr bwMode="auto">
          <a:xfrm>
            <a:off x="1558117" y="50103250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81" name="Поле_МШ_ИзмПодп2"/>
          <xdr:cNvSpPr txBox="1">
            <a:spLocks noChangeArrowheads="1"/>
          </xdr:cNvSpPr>
        </xdr:nvSpPr>
        <xdr:spPr bwMode="auto">
          <a:xfrm>
            <a:off x="1901268" y="50103250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82" name="Поле_МШ_ИзмДата2"/>
          <xdr:cNvSpPr txBox="1">
            <a:spLocks noChangeArrowheads="1"/>
          </xdr:cNvSpPr>
        </xdr:nvSpPr>
        <xdr:spPr bwMode="auto">
          <a:xfrm>
            <a:off x="2404099" y="50103250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83" name="Text Box 155"/>
          <xdr:cNvSpPr txBox="1">
            <a:spLocks noChangeArrowheads="1"/>
          </xdr:cNvSpPr>
        </xdr:nvSpPr>
        <xdr:spPr bwMode="auto">
          <a:xfrm>
            <a:off x="542925" y="50473631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284" name="Text Box 156"/>
          <xdr:cNvSpPr txBox="1">
            <a:spLocks noChangeArrowheads="1"/>
          </xdr:cNvSpPr>
        </xdr:nvSpPr>
        <xdr:spPr bwMode="auto">
          <a:xfrm>
            <a:off x="886076" y="50473631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285" name="Text Box 157"/>
          <xdr:cNvSpPr txBox="1">
            <a:spLocks noChangeArrowheads="1"/>
          </xdr:cNvSpPr>
        </xdr:nvSpPr>
        <xdr:spPr bwMode="auto">
          <a:xfrm>
            <a:off x="1217330" y="50473631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286" name="Text Box 158"/>
          <xdr:cNvSpPr txBox="1">
            <a:spLocks noChangeArrowheads="1"/>
          </xdr:cNvSpPr>
        </xdr:nvSpPr>
        <xdr:spPr bwMode="auto">
          <a:xfrm>
            <a:off x="1558117" y="50473631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287" name="Text Box 159"/>
          <xdr:cNvSpPr txBox="1">
            <a:spLocks noChangeArrowheads="1"/>
          </xdr:cNvSpPr>
        </xdr:nvSpPr>
        <xdr:spPr bwMode="auto">
          <a:xfrm>
            <a:off x="1901268" y="50473631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288" name="Text Box 160"/>
          <xdr:cNvSpPr txBox="1">
            <a:spLocks noChangeArrowheads="1"/>
          </xdr:cNvSpPr>
        </xdr:nvSpPr>
        <xdr:spPr bwMode="auto">
          <a:xfrm>
            <a:off x="6463477" y="50103250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289" name="Text Box 161"/>
          <xdr:cNvSpPr txBox="1">
            <a:spLocks noChangeArrowheads="1"/>
          </xdr:cNvSpPr>
        </xdr:nvSpPr>
        <xdr:spPr bwMode="auto">
          <a:xfrm>
            <a:off x="2404099" y="50473631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290" name="Поле_МШ_Лист"/>
          <xdr:cNvSpPr txBox="1">
            <a:spLocks noChangeArrowheads="1"/>
          </xdr:cNvSpPr>
        </xdr:nvSpPr>
        <xdr:spPr bwMode="auto">
          <a:xfrm>
            <a:off x="6462789" y="50296326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5</a:t>
            </a:r>
          </a:p>
        </xdr:txBody>
      </xdr:sp>
      <xdr:sp macro="" textlink="">
        <xdr:nvSpPr>
          <xdr:cNvPr id="291" name="Line 163"/>
          <xdr:cNvSpPr>
            <a:spLocks noChangeShapeType="1"/>
          </xdr:cNvSpPr>
        </xdr:nvSpPr>
        <xdr:spPr bwMode="auto">
          <a:xfrm>
            <a:off x="542925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" name="Line 164"/>
          <xdr:cNvSpPr>
            <a:spLocks noChangeShapeType="1"/>
          </xdr:cNvSpPr>
        </xdr:nvSpPr>
        <xdr:spPr bwMode="auto">
          <a:xfrm>
            <a:off x="6800850" y="50103250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" name="Line 165"/>
          <xdr:cNvSpPr>
            <a:spLocks noChangeShapeType="1"/>
          </xdr:cNvSpPr>
        </xdr:nvSpPr>
        <xdr:spPr bwMode="auto">
          <a:xfrm>
            <a:off x="886076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4" name="Line 166"/>
          <xdr:cNvSpPr>
            <a:spLocks noChangeShapeType="1"/>
          </xdr:cNvSpPr>
        </xdr:nvSpPr>
        <xdr:spPr bwMode="auto">
          <a:xfrm>
            <a:off x="1217330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5" name="Line 167"/>
          <xdr:cNvSpPr>
            <a:spLocks noChangeShapeType="1"/>
          </xdr:cNvSpPr>
        </xdr:nvSpPr>
        <xdr:spPr bwMode="auto">
          <a:xfrm>
            <a:off x="1558117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6" name="Line 168"/>
          <xdr:cNvSpPr>
            <a:spLocks noChangeShapeType="1"/>
          </xdr:cNvSpPr>
        </xdr:nvSpPr>
        <xdr:spPr bwMode="auto">
          <a:xfrm>
            <a:off x="1901268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7" name="Line 169"/>
          <xdr:cNvSpPr>
            <a:spLocks noChangeShapeType="1"/>
          </xdr:cNvSpPr>
        </xdr:nvSpPr>
        <xdr:spPr bwMode="auto">
          <a:xfrm>
            <a:off x="2394567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8" name="Line 170"/>
          <xdr:cNvSpPr>
            <a:spLocks noChangeShapeType="1"/>
          </xdr:cNvSpPr>
        </xdr:nvSpPr>
        <xdr:spPr bwMode="auto">
          <a:xfrm>
            <a:off x="2744885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9" name="Line 171"/>
          <xdr:cNvSpPr>
            <a:spLocks noChangeShapeType="1"/>
          </xdr:cNvSpPr>
        </xdr:nvSpPr>
        <xdr:spPr bwMode="auto">
          <a:xfrm>
            <a:off x="542925" y="50103250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0" name="Line 172"/>
          <xdr:cNvSpPr>
            <a:spLocks noChangeShapeType="1"/>
          </xdr:cNvSpPr>
        </xdr:nvSpPr>
        <xdr:spPr bwMode="auto">
          <a:xfrm>
            <a:off x="542925" y="50673002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1" name="Line 173"/>
          <xdr:cNvSpPr>
            <a:spLocks noChangeShapeType="1"/>
          </xdr:cNvSpPr>
        </xdr:nvSpPr>
        <xdr:spPr bwMode="auto">
          <a:xfrm>
            <a:off x="542925" y="50293166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2" name="Line 174"/>
          <xdr:cNvSpPr>
            <a:spLocks noChangeShapeType="1"/>
          </xdr:cNvSpPr>
        </xdr:nvSpPr>
        <xdr:spPr bwMode="auto">
          <a:xfrm>
            <a:off x="542925" y="50473631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" name="Line 175"/>
          <xdr:cNvSpPr>
            <a:spLocks noChangeShapeType="1"/>
          </xdr:cNvSpPr>
        </xdr:nvSpPr>
        <xdr:spPr bwMode="auto">
          <a:xfrm>
            <a:off x="6457699" y="50292525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4" name="Line 176"/>
          <xdr:cNvSpPr>
            <a:spLocks noChangeShapeType="1"/>
          </xdr:cNvSpPr>
        </xdr:nvSpPr>
        <xdr:spPr bwMode="auto">
          <a:xfrm>
            <a:off x="6457700" y="50103250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115</xdr:row>
      <xdr:rowOff>0</xdr:rowOff>
    </xdr:from>
    <xdr:to>
      <xdr:col>1</xdr:col>
      <xdr:colOff>0</xdr:colOff>
      <xdr:row>120</xdr:row>
      <xdr:rowOff>0</xdr:rowOff>
    </xdr:to>
    <xdr:grpSp>
      <xdr:nvGrpSpPr>
        <xdr:cNvPr id="306" name="БкШ005"/>
        <xdr:cNvGrpSpPr>
          <a:grpSpLocks/>
        </xdr:cNvGrpSpPr>
      </xdr:nvGrpSpPr>
      <xdr:grpSpPr bwMode="auto">
        <a:xfrm>
          <a:off x="114300" y="47299418"/>
          <a:ext cx="426027" cy="3175462"/>
          <a:chOff x="254532" y="6452366"/>
          <a:chExt cx="432712" cy="3225034"/>
        </a:xfrm>
      </xdr:grpSpPr>
      <xdr:sp macro="" textlink="">
        <xdr:nvSpPr>
          <xdr:cNvPr id="307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8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9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0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1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2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3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314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315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316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144</xdr:row>
      <xdr:rowOff>1325721</xdr:rowOff>
    </xdr:from>
    <xdr:to>
      <xdr:col>5</xdr:col>
      <xdr:colOff>0</xdr:colOff>
      <xdr:row>144</xdr:row>
      <xdr:rowOff>1895473</xdr:rowOff>
    </xdr:to>
    <xdr:grpSp>
      <xdr:nvGrpSpPr>
        <xdr:cNvPr id="354" name="МШ006"/>
        <xdr:cNvGrpSpPr/>
      </xdr:nvGrpSpPr>
      <xdr:grpSpPr>
        <a:xfrm>
          <a:off x="540327" y="59913823"/>
          <a:ext cx="6242858" cy="569752"/>
          <a:chOff x="542925" y="60152121"/>
          <a:chExt cx="6257925" cy="569752"/>
        </a:xfrm>
      </xdr:grpSpPr>
      <xdr:sp macro="" textlink="">
        <xdr:nvSpPr>
          <xdr:cNvPr id="319" name="Поле_МШ_ДокШифр"/>
          <xdr:cNvSpPr txBox="1">
            <a:spLocks noChangeArrowheads="1"/>
          </xdr:cNvSpPr>
        </xdr:nvSpPr>
        <xdr:spPr bwMode="auto">
          <a:xfrm>
            <a:off x="2744885" y="60161575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320" name="Поле_МШ_Изм1"/>
          <xdr:cNvSpPr txBox="1">
            <a:spLocks noChangeArrowheads="1"/>
          </xdr:cNvSpPr>
        </xdr:nvSpPr>
        <xdr:spPr bwMode="auto">
          <a:xfrm>
            <a:off x="542925" y="60342037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1" name="Поле_МШ_ИзмКол1"/>
          <xdr:cNvSpPr txBox="1">
            <a:spLocks noChangeArrowheads="1"/>
          </xdr:cNvSpPr>
        </xdr:nvSpPr>
        <xdr:spPr bwMode="auto">
          <a:xfrm>
            <a:off x="886076" y="6034203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2" name="Поле_МШ_ИзмЛист1"/>
          <xdr:cNvSpPr txBox="1">
            <a:spLocks noChangeArrowheads="1"/>
          </xdr:cNvSpPr>
        </xdr:nvSpPr>
        <xdr:spPr bwMode="auto">
          <a:xfrm>
            <a:off x="1217330" y="6034203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3" name="Поле_MШ_ИзмДок1"/>
          <xdr:cNvSpPr txBox="1">
            <a:spLocks noChangeArrowheads="1"/>
          </xdr:cNvSpPr>
        </xdr:nvSpPr>
        <xdr:spPr bwMode="auto">
          <a:xfrm>
            <a:off x="1558117" y="60342037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4" name="Поле_МШ_ИзмПодп1"/>
          <xdr:cNvSpPr txBox="1">
            <a:spLocks noChangeArrowheads="1"/>
          </xdr:cNvSpPr>
        </xdr:nvSpPr>
        <xdr:spPr bwMode="auto">
          <a:xfrm>
            <a:off x="1901268" y="60342037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5" name="Поле_МШ_ИзмДата1"/>
          <xdr:cNvSpPr txBox="1">
            <a:spLocks noChangeArrowheads="1"/>
          </xdr:cNvSpPr>
        </xdr:nvSpPr>
        <xdr:spPr bwMode="auto">
          <a:xfrm>
            <a:off x="2404099" y="6034203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6" name="Поле_МШ_Изм2"/>
          <xdr:cNvSpPr txBox="1">
            <a:spLocks noChangeArrowheads="1"/>
          </xdr:cNvSpPr>
        </xdr:nvSpPr>
        <xdr:spPr bwMode="auto">
          <a:xfrm>
            <a:off x="542925" y="60152121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7" name="Поле_МШ_ИзмКол2"/>
          <xdr:cNvSpPr txBox="1">
            <a:spLocks noChangeArrowheads="1"/>
          </xdr:cNvSpPr>
        </xdr:nvSpPr>
        <xdr:spPr bwMode="auto">
          <a:xfrm>
            <a:off x="886076" y="6015212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8" name="Поле_МШ_ИзмЛист2"/>
          <xdr:cNvSpPr txBox="1">
            <a:spLocks noChangeArrowheads="1"/>
          </xdr:cNvSpPr>
        </xdr:nvSpPr>
        <xdr:spPr bwMode="auto">
          <a:xfrm>
            <a:off x="1217330" y="6015212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29" name="Поле_МШ_ИзмДок2"/>
          <xdr:cNvSpPr txBox="1">
            <a:spLocks noChangeArrowheads="1"/>
          </xdr:cNvSpPr>
        </xdr:nvSpPr>
        <xdr:spPr bwMode="auto">
          <a:xfrm>
            <a:off x="1558117" y="60152121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30" name="Поле_МШ_ИзмПодп2"/>
          <xdr:cNvSpPr txBox="1">
            <a:spLocks noChangeArrowheads="1"/>
          </xdr:cNvSpPr>
        </xdr:nvSpPr>
        <xdr:spPr bwMode="auto">
          <a:xfrm>
            <a:off x="1901268" y="60152121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31" name="Поле_МШ_ИзмДата2"/>
          <xdr:cNvSpPr txBox="1">
            <a:spLocks noChangeArrowheads="1"/>
          </xdr:cNvSpPr>
        </xdr:nvSpPr>
        <xdr:spPr bwMode="auto">
          <a:xfrm>
            <a:off x="2404099" y="6015212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32" name="Text Box 155"/>
          <xdr:cNvSpPr txBox="1">
            <a:spLocks noChangeArrowheads="1"/>
          </xdr:cNvSpPr>
        </xdr:nvSpPr>
        <xdr:spPr bwMode="auto">
          <a:xfrm>
            <a:off x="542925" y="60522502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333" name="Text Box 156"/>
          <xdr:cNvSpPr txBox="1">
            <a:spLocks noChangeArrowheads="1"/>
          </xdr:cNvSpPr>
        </xdr:nvSpPr>
        <xdr:spPr bwMode="auto">
          <a:xfrm>
            <a:off x="886076" y="60522502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334" name="Text Box 157"/>
          <xdr:cNvSpPr txBox="1">
            <a:spLocks noChangeArrowheads="1"/>
          </xdr:cNvSpPr>
        </xdr:nvSpPr>
        <xdr:spPr bwMode="auto">
          <a:xfrm>
            <a:off x="1217330" y="60522502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335" name="Text Box 158"/>
          <xdr:cNvSpPr txBox="1">
            <a:spLocks noChangeArrowheads="1"/>
          </xdr:cNvSpPr>
        </xdr:nvSpPr>
        <xdr:spPr bwMode="auto">
          <a:xfrm>
            <a:off x="1558117" y="60522502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336" name="Text Box 159"/>
          <xdr:cNvSpPr txBox="1">
            <a:spLocks noChangeArrowheads="1"/>
          </xdr:cNvSpPr>
        </xdr:nvSpPr>
        <xdr:spPr bwMode="auto">
          <a:xfrm>
            <a:off x="1901268" y="60522502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337" name="Text Box 160"/>
          <xdr:cNvSpPr txBox="1">
            <a:spLocks noChangeArrowheads="1"/>
          </xdr:cNvSpPr>
        </xdr:nvSpPr>
        <xdr:spPr bwMode="auto">
          <a:xfrm>
            <a:off x="6463477" y="60152121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338" name="Text Box 161"/>
          <xdr:cNvSpPr txBox="1">
            <a:spLocks noChangeArrowheads="1"/>
          </xdr:cNvSpPr>
        </xdr:nvSpPr>
        <xdr:spPr bwMode="auto">
          <a:xfrm>
            <a:off x="2404099" y="60522502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339" name="Поле_МШ_Лист"/>
          <xdr:cNvSpPr txBox="1">
            <a:spLocks noChangeArrowheads="1"/>
          </xdr:cNvSpPr>
        </xdr:nvSpPr>
        <xdr:spPr bwMode="auto">
          <a:xfrm>
            <a:off x="6462789" y="60345197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6</a:t>
            </a:r>
          </a:p>
        </xdr:txBody>
      </xdr:sp>
      <xdr:sp macro="" textlink="">
        <xdr:nvSpPr>
          <xdr:cNvPr id="340" name="Line 163"/>
          <xdr:cNvSpPr>
            <a:spLocks noChangeShapeType="1"/>
          </xdr:cNvSpPr>
        </xdr:nvSpPr>
        <xdr:spPr bwMode="auto">
          <a:xfrm>
            <a:off x="542925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1" name="Line 164"/>
          <xdr:cNvSpPr>
            <a:spLocks noChangeShapeType="1"/>
          </xdr:cNvSpPr>
        </xdr:nvSpPr>
        <xdr:spPr bwMode="auto">
          <a:xfrm>
            <a:off x="6800850" y="60152121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2" name="Line 165"/>
          <xdr:cNvSpPr>
            <a:spLocks noChangeShapeType="1"/>
          </xdr:cNvSpPr>
        </xdr:nvSpPr>
        <xdr:spPr bwMode="auto">
          <a:xfrm>
            <a:off x="886076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3" name="Line 166"/>
          <xdr:cNvSpPr>
            <a:spLocks noChangeShapeType="1"/>
          </xdr:cNvSpPr>
        </xdr:nvSpPr>
        <xdr:spPr bwMode="auto">
          <a:xfrm>
            <a:off x="1217330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" name="Line 167"/>
          <xdr:cNvSpPr>
            <a:spLocks noChangeShapeType="1"/>
          </xdr:cNvSpPr>
        </xdr:nvSpPr>
        <xdr:spPr bwMode="auto">
          <a:xfrm>
            <a:off x="1558117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" name="Line 168"/>
          <xdr:cNvSpPr>
            <a:spLocks noChangeShapeType="1"/>
          </xdr:cNvSpPr>
        </xdr:nvSpPr>
        <xdr:spPr bwMode="auto">
          <a:xfrm>
            <a:off x="1901268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6" name="Line 169"/>
          <xdr:cNvSpPr>
            <a:spLocks noChangeShapeType="1"/>
          </xdr:cNvSpPr>
        </xdr:nvSpPr>
        <xdr:spPr bwMode="auto">
          <a:xfrm>
            <a:off x="2394567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7" name="Line 170"/>
          <xdr:cNvSpPr>
            <a:spLocks noChangeShapeType="1"/>
          </xdr:cNvSpPr>
        </xdr:nvSpPr>
        <xdr:spPr bwMode="auto">
          <a:xfrm>
            <a:off x="2744885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8" name="Line 171"/>
          <xdr:cNvSpPr>
            <a:spLocks noChangeShapeType="1"/>
          </xdr:cNvSpPr>
        </xdr:nvSpPr>
        <xdr:spPr bwMode="auto">
          <a:xfrm>
            <a:off x="542925" y="60152121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9" name="Line 172"/>
          <xdr:cNvSpPr>
            <a:spLocks noChangeShapeType="1"/>
          </xdr:cNvSpPr>
        </xdr:nvSpPr>
        <xdr:spPr bwMode="auto">
          <a:xfrm>
            <a:off x="542925" y="60721873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0" name="Line 173"/>
          <xdr:cNvSpPr>
            <a:spLocks noChangeShapeType="1"/>
          </xdr:cNvSpPr>
        </xdr:nvSpPr>
        <xdr:spPr bwMode="auto">
          <a:xfrm>
            <a:off x="542925" y="60342037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1" name="Line 174"/>
          <xdr:cNvSpPr>
            <a:spLocks noChangeShapeType="1"/>
          </xdr:cNvSpPr>
        </xdr:nvSpPr>
        <xdr:spPr bwMode="auto">
          <a:xfrm>
            <a:off x="542925" y="60522502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2" name="Line 175"/>
          <xdr:cNvSpPr>
            <a:spLocks noChangeShapeType="1"/>
          </xdr:cNvSpPr>
        </xdr:nvSpPr>
        <xdr:spPr bwMode="auto">
          <a:xfrm>
            <a:off x="6457699" y="60341396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3" name="Line 176"/>
          <xdr:cNvSpPr>
            <a:spLocks noChangeShapeType="1"/>
          </xdr:cNvSpPr>
        </xdr:nvSpPr>
        <xdr:spPr bwMode="auto">
          <a:xfrm>
            <a:off x="6457700" y="6015212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140</xdr:row>
      <xdr:rowOff>9525</xdr:rowOff>
    </xdr:from>
    <xdr:to>
      <xdr:col>1</xdr:col>
      <xdr:colOff>0</xdr:colOff>
      <xdr:row>145</xdr:row>
      <xdr:rowOff>0</xdr:rowOff>
    </xdr:to>
    <xdr:grpSp>
      <xdr:nvGrpSpPr>
        <xdr:cNvPr id="355" name="БкШ006"/>
        <xdr:cNvGrpSpPr>
          <a:grpSpLocks/>
        </xdr:cNvGrpSpPr>
      </xdr:nvGrpSpPr>
      <xdr:grpSpPr bwMode="auto">
        <a:xfrm>
          <a:off x="114300" y="57300841"/>
          <a:ext cx="426027" cy="3182563"/>
          <a:chOff x="254532" y="6452366"/>
          <a:chExt cx="432712" cy="3225034"/>
        </a:xfrm>
      </xdr:grpSpPr>
      <xdr:sp macro="" textlink="">
        <xdr:nvSpPr>
          <xdr:cNvPr id="356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7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8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9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0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1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2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363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364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365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6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170</xdr:row>
      <xdr:rowOff>1116171</xdr:rowOff>
    </xdr:from>
    <xdr:to>
      <xdr:col>5</xdr:col>
      <xdr:colOff>0</xdr:colOff>
      <xdr:row>170</xdr:row>
      <xdr:rowOff>1685923</xdr:rowOff>
    </xdr:to>
    <xdr:grpSp>
      <xdr:nvGrpSpPr>
        <xdr:cNvPr id="403" name="МШ007"/>
        <xdr:cNvGrpSpPr/>
      </xdr:nvGrpSpPr>
      <xdr:grpSpPr>
        <a:xfrm>
          <a:off x="540327" y="69928927"/>
          <a:ext cx="6242858" cy="561439"/>
          <a:chOff x="542925" y="70200996"/>
          <a:chExt cx="6257925" cy="569752"/>
        </a:xfrm>
      </xdr:grpSpPr>
      <xdr:sp macro="" textlink="">
        <xdr:nvSpPr>
          <xdr:cNvPr id="368" name="Поле_МШ_ДокШифр"/>
          <xdr:cNvSpPr txBox="1">
            <a:spLocks noChangeArrowheads="1"/>
          </xdr:cNvSpPr>
        </xdr:nvSpPr>
        <xdr:spPr bwMode="auto">
          <a:xfrm>
            <a:off x="2744885" y="70210450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369" name="Поле_МШ_Изм1"/>
          <xdr:cNvSpPr txBox="1">
            <a:spLocks noChangeArrowheads="1"/>
          </xdr:cNvSpPr>
        </xdr:nvSpPr>
        <xdr:spPr bwMode="auto">
          <a:xfrm>
            <a:off x="542925" y="70390912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0" name="Поле_МШ_ИзмКол1"/>
          <xdr:cNvSpPr txBox="1">
            <a:spLocks noChangeArrowheads="1"/>
          </xdr:cNvSpPr>
        </xdr:nvSpPr>
        <xdr:spPr bwMode="auto">
          <a:xfrm>
            <a:off x="886076" y="7039091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1" name="Поле_МШ_ИзмЛист1"/>
          <xdr:cNvSpPr txBox="1">
            <a:spLocks noChangeArrowheads="1"/>
          </xdr:cNvSpPr>
        </xdr:nvSpPr>
        <xdr:spPr bwMode="auto">
          <a:xfrm>
            <a:off x="1217330" y="7039091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2" name="Поле_MШ_ИзмДок1"/>
          <xdr:cNvSpPr txBox="1">
            <a:spLocks noChangeArrowheads="1"/>
          </xdr:cNvSpPr>
        </xdr:nvSpPr>
        <xdr:spPr bwMode="auto">
          <a:xfrm>
            <a:off x="1558117" y="70390912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3" name="Поле_МШ_ИзмПодп1"/>
          <xdr:cNvSpPr txBox="1">
            <a:spLocks noChangeArrowheads="1"/>
          </xdr:cNvSpPr>
        </xdr:nvSpPr>
        <xdr:spPr bwMode="auto">
          <a:xfrm>
            <a:off x="1901268" y="70390912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4" name="Поле_МШ_ИзмДата1"/>
          <xdr:cNvSpPr txBox="1">
            <a:spLocks noChangeArrowheads="1"/>
          </xdr:cNvSpPr>
        </xdr:nvSpPr>
        <xdr:spPr bwMode="auto">
          <a:xfrm>
            <a:off x="2404099" y="7039091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5" name="Поле_МШ_Изм2"/>
          <xdr:cNvSpPr txBox="1">
            <a:spLocks noChangeArrowheads="1"/>
          </xdr:cNvSpPr>
        </xdr:nvSpPr>
        <xdr:spPr bwMode="auto">
          <a:xfrm>
            <a:off x="542925" y="70200996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6" name="Поле_МШ_ИзмКол2"/>
          <xdr:cNvSpPr txBox="1">
            <a:spLocks noChangeArrowheads="1"/>
          </xdr:cNvSpPr>
        </xdr:nvSpPr>
        <xdr:spPr bwMode="auto">
          <a:xfrm>
            <a:off x="886076" y="7020099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7" name="Поле_МШ_ИзмЛист2"/>
          <xdr:cNvSpPr txBox="1">
            <a:spLocks noChangeArrowheads="1"/>
          </xdr:cNvSpPr>
        </xdr:nvSpPr>
        <xdr:spPr bwMode="auto">
          <a:xfrm>
            <a:off x="1217330" y="7020099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8" name="Поле_МШ_ИзмДок2"/>
          <xdr:cNvSpPr txBox="1">
            <a:spLocks noChangeArrowheads="1"/>
          </xdr:cNvSpPr>
        </xdr:nvSpPr>
        <xdr:spPr bwMode="auto">
          <a:xfrm>
            <a:off x="1558117" y="70200996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79" name="Поле_МШ_ИзмПодп2"/>
          <xdr:cNvSpPr txBox="1">
            <a:spLocks noChangeArrowheads="1"/>
          </xdr:cNvSpPr>
        </xdr:nvSpPr>
        <xdr:spPr bwMode="auto">
          <a:xfrm>
            <a:off x="1901268" y="70200996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80" name="Поле_МШ_ИзмДата2"/>
          <xdr:cNvSpPr txBox="1">
            <a:spLocks noChangeArrowheads="1"/>
          </xdr:cNvSpPr>
        </xdr:nvSpPr>
        <xdr:spPr bwMode="auto">
          <a:xfrm>
            <a:off x="2404099" y="7020099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81" name="Text Box 155"/>
          <xdr:cNvSpPr txBox="1">
            <a:spLocks noChangeArrowheads="1"/>
          </xdr:cNvSpPr>
        </xdr:nvSpPr>
        <xdr:spPr bwMode="auto">
          <a:xfrm>
            <a:off x="542925" y="70571377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382" name="Text Box 156"/>
          <xdr:cNvSpPr txBox="1">
            <a:spLocks noChangeArrowheads="1"/>
          </xdr:cNvSpPr>
        </xdr:nvSpPr>
        <xdr:spPr bwMode="auto">
          <a:xfrm>
            <a:off x="886076" y="70571377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383" name="Text Box 157"/>
          <xdr:cNvSpPr txBox="1">
            <a:spLocks noChangeArrowheads="1"/>
          </xdr:cNvSpPr>
        </xdr:nvSpPr>
        <xdr:spPr bwMode="auto">
          <a:xfrm>
            <a:off x="1217330" y="70571377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384" name="Text Box 158"/>
          <xdr:cNvSpPr txBox="1">
            <a:spLocks noChangeArrowheads="1"/>
          </xdr:cNvSpPr>
        </xdr:nvSpPr>
        <xdr:spPr bwMode="auto">
          <a:xfrm>
            <a:off x="1558117" y="70571377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385" name="Text Box 159"/>
          <xdr:cNvSpPr txBox="1">
            <a:spLocks noChangeArrowheads="1"/>
          </xdr:cNvSpPr>
        </xdr:nvSpPr>
        <xdr:spPr bwMode="auto">
          <a:xfrm>
            <a:off x="1901268" y="70571377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386" name="Text Box 160"/>
          <xdr:cNvSpPr txBox="1">
            <a:spLocks noChangeArrowheads="1"/>
          </xdr:cNvSpPr>
        </xdr:nvSpPr>
        <xdr:spPr bwMode="auto">
          <a:xfrm>
            <a:off x="6463477" y="70200996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387" name="Text Box 161"/>
          <xdr:cNvSpPr txBox="1">
            <a:spLocks noChangeArrowheads="1"/>
          </xdr:cNvSpPr>
        </xdr:nvSpPr>
        <xdr:spPr bwMode="auto">
          <a:xfrm>
            <a:off x="2404099" y="70571377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388" name="Поле_МШ_Лист"/>
          <xdr:cNvSpPr txBox="1">
            <a:spLocks noChangeArrowheads="1"/>
          </xdr:cNvSpPr>
        </xdr:nvSpPr>
        <xdr:spPr bwMode="auto">
          <a:xfrm>
            <a:off x="6462789" y="70394072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7</a:t>
            </a:r>
          </a:p>
        </xdr:txBody>
      </xdr:sp>
      <xdr:sp macro="" textlink="">
        <xdr:nvSpPr>
          <xdr:cNvPr id="389" name="Line 163"/>
          <xdr:cNvSpPr>
            <a:spLocks noChangeShapeType="1"/>
          </xdr:cNvSpPr>
        </xdr:nvSpPr>
        <xdr:spPr bwMode="auto">
          <a:xfrm>
            <a:off x="542925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0" name="Line 164"/>
          <xdr:cNvSpPr>
            <a:spLocks noChangeShapeType="1"/>
          </xdr:cNvSpPr>
        </xdr:nvSpPr>
        <xdr:spPr bwMode="auto">
          <a:xfrm>
            <a:off x="6800850" y="70200996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1" name="Line 165"/>
          <xdr:cNvSpPr>
            <a:spLocks noChangeShapeType="1"/>
          </xdr:cNvSpPr>
        </xdr:nvSpPr>
        <xdr:spPr bwMode="auto">
          <a:xfrm>
            <a:off x="886076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2" name="Line 166"/>
          <xdr:cNvSpPr>
            <a:spLocks noChangeShapeType="1"/>
          </xdr:cNvSpPr>
        </xdr:nvSpPr>
        <xdr:spPr bwMode="auto">
          <a:xfrm>
            <a:off x="1217330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3" name="Line 167"/>
          <xdr:cNvSpPr>
            <a:spLocks noChangeShapeType="1"/>
          </xdr:cNvSpPr>
        </xdr:nvSpPr>
        <xdr:spPr bwMode="auto">
          <a:xfrm>
            <a:off x="1558117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4" name="Line 168"/>
          <xdr:cNvSpPr>
            <a:spLocks noChangeShapeType="1"/>
          </xdr:cNvSpPr>
        </xdr:nvSpPr>
        <xdr:spPr bwMode="auto">
          <a:xfrm>
            <a:off x="1901268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" name="Line 169"/>
          <xdr:cNvSpPr>
            <a:spLocks noChangeShapeType="1"/>
          </xdr:cNvSpPr>
        </xdr:nvSpPr>
        <xdr:spPr bwMode="auto">
          <a:xfrm>
            <a:off x="2394567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6" name="Line 170"/>
          <xdr:cNvSpPr>
            <a:spLocks noChangeShapeType="1"/>
          </xdr:cNvSpPr>
        </xdr:nvSpPr>
        <xdr:spPr bwMode="auto">
          <a:xfrm>
            <a:off x="2744885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7" name="Line 171"/>
          <xdr:cNvSpPr>
            <a:spLocks noChangeShapeType="1"/>
          </xdr:cNvSpPr>
        </xdr:nvSpPr>
        <xdr:spPr bwMode="auto">
          <a:xfrm>
            <a:off x="542925" y="70200996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8" name="Line 172"/>
          <xdr:cNvSpPr>
            <a:spLocks noChangeShapeType="1"/>
          </xdr:cNvSpPr>
        </xdr:nvSpPr>
        <xdr:spPr bwMode="auto">
          <a:xfrm>
            <a:off x="542925" y="70770748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9" name="Line 173"/>
          <xdr:cNvSpPr>
            <a:spLocks noChangeShapeType="1"/>
          </xdr:cNvSpPr>
        </xdr:nvSpPr>
        <xdr:spPr bwMode="auto">
          <a:xfrm>
            <a:off x="542925" y="70390912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74"/>
          <xdr:cNvSpPr>
            <a:spLocks noChangeShapeType="1"/>
          </xdr:cNvSpPr>
        </xdr:nvSpPr>
        <xdr:spPr bwMode="auto">
          <a:xfrm>
            <a:off x="542925" y="70571377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75"/>
          <xdr:cNvSpPr>
            <a:spLocks noChangeShapeType="1"/>
          </xdr:cNvSpPr>
        </xdr:nvSpPr>
        <xdr:spPr bwMode="auto">
          <a:xfrm>
            <a:off x="6457699" y="70390271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76"/>
          <xdr:cNvSpPr>
            <a:spLocks noChangeShapeType="1"/>
          </xdr:cNvSpPr>
        </xdr:nvSpPr>
        <xdr:spPr bwMode="auto">
          <a:xfrm>
            <a:off x="6457700" y="7020099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165</xdr:row>
      <xdr:rowOff>9525</xdr:rowOff>
    </xdr:from>
    <xdr:to>
      <xdr:col>1</xdr:col>
      <xdr:colOff>0</xdr:colOff>
      <xdr:row>171</xdr:row>
      <xdr:rowOff>0</xdr:rowOff>
    </xdr:to>
    <xdr:grpSp>
      <xdr:nvGrpSpPr>
        <xdr:cNvPr id="404" name="БкШ007"/>
        <xdr:cNvGrpSpPr>
          <a:grpSpLocks/>
        </xdr:cNvGrpSpPr>
      </xdr:nvGrpSpPr>
      <xdr:grpSpPr bwMode="auto">
        <a:xfrm>
          <a:off x="114300" y="67325990"/>
          <a:ext cx="426027" cy="3165937"/>
          <a:chOff x="254532" y="6452366"/>
          <a:chExt cx="432712" cy="3225034"/>
        </a:xfrm>
      </xdr:grpSpPr>
      <xdr:sp macro="" textlink="">
        <xdr:nvSpPr>
          <xdr:cNvPr id="405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6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7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8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9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0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1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412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413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414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15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194</xdr:row>
      <xdr:rowOff>1325721</xdr:rowOff>
    </xdr:from>
    <xdr:to>
      <xdr:col>5</xdr:col>
      <xdr:colOff>0</xdr:colOff>
      <xdr:row>194</xdr:row>
      <xdr:rowOff>1895473</xdr:rowOff>
    </xdr:to>
    <xdr:grpSp>
      <xdr:nvGrpSpPr>
        <xdr:cNvPr id="452" name="МШ008"/>
        <xdr:cNvGrpSpPr/>
      </xdr:nvGrpSpPr>
      <xdr:grpSpPr>
        <a:xfrm>
          <a:off x="540327" y="79930870"/>
          <a:ext cx="6242858" cy="569752"/>
          <a:chOff x="542925" y="80249871"/>
          <a:chExt cx="6257925" cy="569752"/>
        </a:xfrm>
      </xdr:grpSpPr>
      <xdr:sp macro="" textlink="">
        <xdr:nvSpPr>
          <xdr:cNvPr id="417" name="Поле_МШ_ДокШифр"/>
          <xdr:cNvSpPr txBox="1">
            <a:spLocks noChangeArrowheads="1"/>
          </xdr:cNvSpPr>
        </xdr:nvSpPr>
        <xdr:spPr bwMode="auto">
          <a:xfrm>
            <a:off x="2744885" y="80259325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418" name="Поле_МШ_Изм1"/>
          <xdr:cNvSpPr txBox="1">
            <a:spLocks noChangeArrowheads="1"/>
          </xdr:cNvSpPr>
        </xdr:nvSpPr>
        <xdr:spPr bwMode="auto">
          <a:xfrm>
            <a:off x="542925" y="80439787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19" name="Поле_МШ_ИзмКол1"/>
          <xdr:cNvSpPr txBox="1">
            <a:spLocks noChangeArrowheads="1"/>
          </xdr:cNvSpPr>
        </xdr:nvSpPr>
        <xdr:spPr bwMode="auto">
          <a:xfrm>
            <a:off x="886076" y="8043978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0" name="Поле_МШ_ИзмЛист1"/>
          <xdr:cNvSpPr txBox="1">
            <a:spLocks noChangeArrowheads="1"/>
          </xdr:cNvSpPr>
        </xdr:nvSpPr>
        <xdr:spPr bwMode="auto">
          <a:xfrm>
            <a:off x="1217330" y="8043978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1" name="Поле_MШ_ИзмДок1"/>
          <xdr:cNvSpPr txBox="1">
            <a:spLocks noChangeArrowheads="1"/>
          </xdr:cNvSpPr>
        </xdr:nvSpPr>
        <xdr:spPr bwMode="auto">
          <a:xfrm>
            <a:off x="1558117" y="80439787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2" name="Поле_МШ_ИзмПодп1"/>
          <xdr:cNvSpPr txBox="1">
            <a:spLocks noChangeArrowheads="1"/>
          </xdr:cNvSpPr>
        </xdr:nvSpPr>
        <xdr:spPr bwMode="auto">
          <a:xfrm>
            <a:off x="1901268" y="80439787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3" name="Поле_МШ_ИзмДата1"/>
          <xdr:cNvSpPr txBox="1">
            <a:spLocks noChangeArrowheads="1"/>
          </xdr:cNvSpPr>
        </xdr:nvSpPr>
        <xdr:spPr bwMode="auto">
          <a:xfrm>
            <a:off x="2404099" y="80439787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4" name="Поле_МШ_Изм2"/>
          <xdr:cNvSpPr txBox="1">
            <a:spLocks noChangeArrowheads="1"/>
          </xdr:cNvSpPr>
        </xdr:nvSpPr>
        <xdr:spPr bwMode="auto">
          <a:xfrm>
            <a:off x="542925" y="80249871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5" name="Поле_МШ_ИзмКол2"/>
          <xdr:cNvSpPr txBox="1">
            <a:spLocks noChangeArrowheads="1"/>
          </xdr:cNvSpPr>
        </xdr:nvSpPr>
        <xdr:spPr bwMode="auto">
          <a:xfrm>
            <a:off x="886076" y="8024987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6" name="Поле_МШ_ИзмЛист2"/>
          <xdr:cNvSpPr txBox="1">
            <a:spLocks noChangeArrowheads="1"/>
          </xdr:cNvSpPr>
        </xdr:nvSpPr>
        <xdr:spPr bwMode="auto">
          <a:xfrm>
            <a:off x="1217330" y="8024987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7" name="Поле_МШ_ИзмДок2"/>
          <xdr:cNvSpPr txBox="1">
            <a:spLocks noChangeArrowheads="1"/>
          </xdr:cNvSpPr>
        </xdr:nvSpPr>
        <xdr:spPr bwMode="auto">
          <a:xfrm>
            <a:off x="1558117" y="80249871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8" name="Поле_МШ_ИзмПодп2"/>
          <xdr:cNvSpPr txBox="1">
            <a:spLocks noChangeArrowheads="1"/>
          </xdr:cNvSpPr>
        </xdr:nvSpPr>
        <xdr:spPr bwMode="auto">
          <a:xfrm>
            <a:off x="1901268" y="80249871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29" name="Поле_МШ_ИзмДата2"/>
          <xdr:cNvSpPr txBox="1">
            <a:spLocks noChangeArrowheads="1"/>
          </xdr:cNvSpPr>
        </xdr:nvSpPr>
        <xdr:spPr bwMode="auto">
          <a:xfrm>
            <a:off x="2404099" y="80249871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30" name="Text Box 155"/>
          <xdr:cNvSpPr txBox="1">
            <a:spLocks noChangeArrowheads="1"/>
          </xdr:cNvSpPr>
        </xdr:nvSpPr>
        <xdr:spPr bwMode="auto">
          <a:xfrm>
            <a:off x="542925" y="80620252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431" name="Text Box 156"/>
          <xdr:cNvSpPr txBox="1">
            <a:spLocks noChangeArrowheads="1"/>
          </xdr:cNvSpPr>
        </xdr:nvSpPr>
        <xdr:spPr bwMode="auto">
          <a:xfrm>
            <a:off x="886076" y="80620252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432" name="Text Box 157"/>
          <xdr:cNvSpPr txBox="1">
            <a:spLocks noChangeArrowheads="1"/>
          </xdr:cNvSpPr>
        </xdr:nvSpPr>
        <xdr:spPr bwMode="auto">
          <a:xfrm>
            <a:off x="1217330" y="80620252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433" name="Text Box 158"/>
          <xdr:cNvSpPr txBox="1">
            <a:spLocks noChangeArrowheads="1"/>
          </xdr:cNvSpPr>
        </xdr:nvSpPr>
        <xdr:spPr bwMode="auto">
          <a:xfrm>
            <a:off x="1558117" y="80620252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434" name="Text Box 159"/>
          <xdr:cNvSpPr txBox="1">
            <a:spLocks noChangeArrowheads="1"/>
          </xdr:cNvSpPr>
        </xdr:nvSpPr>
        <xdr:spPr bwMode="auto">
          <a:xfrm>
            <a:off x="1901268" y="80620252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435" name="Text Box 160"/>
          <xdr:cNvSpPr txBox="1">
            <a:spLocks noChangeArrowheads="1"/>
          </xdr:cNvSpPr>
        </xdr:nvSpPr>
        <xdr:spPr bwMode="auto">
          <a:xfrm>
            <a:off x="6463477" y="80249871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436" name="Text Box 161"/>
          <xdr:cNvSpPr txBox="1">
            <a:spLocks noChangeArrowheads="1"/>
          </xdr:cNvSpPr>
        </xdr:nvSpPr>
        <xdr:spPr bwMode="auto">
          <a:xfrm>
            <a:off x="2404099" y="80620252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437" name="Поле_МШ_Лист"/>
          <xdr:cNvSpPr txBox="1">
            <a:spLocks noChangeArrowheads="1"/>
          </xdr:cNvSpPr>
        </xdr:nvSpPr>
        <xdr:spPr bwMode="auto">
          <a:xfrm>
            <a:off x="6462789" y="80442947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8</a:t>
            </a:r>
          </a:p>
        </xdr:txBody>
      </xdr:sp>
      <xdr:sp macro="" textlink="">
        <xdr:nvSpPr>
          <xdr:cNvPr id="438" name="Line 163"/>
          <xdr:cNvSpPr>
            <a:spLocks noChangeShapeType="1"/>
          </xdr:cNvSpPr>
        </xdr:nvSpPr>
        <xdr:spPr bwMode="auto">
          <a:xfrm>
            <a:off x="542925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9" name="Line 164"/>
          <xdr:cNvSpPr>
            <a:spLocks noChangeShapeType="1"/>
          </xdr:cNvSpPr>
        </xdr:nvSpPr>
        <xdr:spPr bwMode="auto">
          <a:xfrm>
            <a:off x="6800850" y="80249871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0" name="Line 165"/>
          <xdr:cNvSpPr>
            <a:spLocks noChangeShapeType="1"/>
          </xdr:cNvSpPr>
        </xdr:nvSpPr>
        <xdr:spPr bwMode="auto">
          <a:xfrm>
            <a:off x="886076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1" name="Line 166"/>
          <xdr:cNvSpPr>
            <a:spLocks noChangeShapeType="1"/>
          </xdr:cNvSpPr>
        </xdr:nvSpPr>
        <xdr:spPr bwMode="auto">
          <a:xfrm>
            <a:off x="1217330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2" name="Line 167"/>
          <xdr:cNvSpPr>
            <a:spLocks noChangeShapeType="1"/>
          </xdr:cNvSpPr>
        </xdr:nvSpPr>
        <xdr:spPr bwMode="auto">
          <a:xfrm>
            <a:off x="1558117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3" name="Line 168"/>
          <xdr:cNvSpPr>
            <a:spLocks noChangeShapeType="1"/>
          </xdr:cNvSpPr>
        </xdr:nvSpPr>
        <xdr:spPr bwMode="auto">
          <a:xfrm>
            <a:off x="1901268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4" name="Line 169"/>
          <xdr:cNvSpPr>
            <a:spLocks noChangeShapeType="1"/>
          </xdr:cNvSpPr>
        </xdr:nvSpPr>
        <xdr:spPr bwMode="auto">
          <a:xfrm>
            <a:off x="2394567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5" name="Line 170"/>
          <xdr:cNvSpPr>
            <a:spLocks noChangeShapeType="1"/>
          </xdr:cNvSpPr>
        </xdr:nvSpPr>
        <xdr:spPr bwMode="auto">
          <a:xfrm>
            <a:off x="2744885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6" name="Line 171"/>
          <xdr:cNvSpPr>
            <a:spLocks noChangeShapeType="1"/>
          </xdr:cNvSpPr>
        </xdr:nvSpPr>
        <xdr:spPr bwMode="auto">
          <a:xfrm>
            <a:off x="542925" y="80249871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7" name="Line 172"/>
          <xdr:cNvSpPr>
            <a:spLocks noChangeShapeType="1"/>
          </xdr:cNvSpPr>
        </xdr:nvSpPr>
        <xdr:spPr bwMode="auto">
          <a:xfrm>
            <a:off x="542925" y="80819623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8" name="Line 173"/>
          <xdr:cNvSpPr>
            <a:spLocks noChangeShapeType="1"/>
          </xdr:cNvSpPr>
        </xdr:nvSpPr>
        <xdr:spPr bwMode="auto">
          <a:xfrm>
            <a:off x="542925" y="80439787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9" name="Line 174"/>
          <xdr:cNvSpPr>
            <a:spLocks noChangeShapeType="1"/>
          </xdr:cNvSpPr>
        </xdr:nvSpPr>
        <xdr:spPr bwMode="auto">
          <a:xfrm>
            <a:off x="542925" y="80620252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0" name="Line 175"/>
          <xdr:cNvSpPr>
            <a:spLocks noChangeShapeType="1"/>
          </xdr:cNvSpPr>
        </xdr:nvSpPr>
        <xdr:spPr bwMode="auto">
          <a:xfrm>
            <a:off x="6457699" y="80439146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1" name="Line 176"/>
          <xdr:cNvSpPr>
            <a:spLocks noChangeShapeType="1"/>
          </xdr:cNvSpPr>
        </xdr:nvSpPr>
        <xdr:spPr bwMode="auto">
          <a:xfrm>
            <a:off x="6457700" y="80249871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190</xdr:row>
      <xdr:rowOff>104775</xdr:rowOff>
    </xdr:from>
    <xdr:to>
      <xdr:col>1</xdr:col>
      <xdr:colOff>0</xdr:colOff>
      <xdr:row>195</xdr:row>
      <xdr:rowOff>0</xdr:rowOff>
    </xdr:to>
    <xdr:grpSp>
      <xdr:nvGrpSpPr>
        <xdr:cNvPr id="453" name="БкШ008"/>
        <xdr:cNvGrpSpPr>
          <a:grpSpLocks/>
        </xdr:cNvGrpSpPr>
      </xdr:nvGrpSpPr>
      <xdr:grpSpPr bwMode="auto">
        <a:xfrm>
          <a:off x="114300" y="77330011"/>
          <a:ext cx="426027" cy="3170440"/>
          <a:chOff x="254532" y="6452366"/>
          <a:chExt cx="432712" cy="3225034"/>
        </a:xfrm>
      </xdr:grpSpPr>
      <xdr:sp macro="" textlink="">
        <xdr:nvSpPr>
          <xdr:cNvPr id="454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5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6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7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8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9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0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461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462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463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64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 editAs="oneCell">
    <xdr:from>
      <xdr:col>1</xdr:col>
      <xdr:colOff>0</xdr:colOff>
      <xdr:row>202</xdr:row>
      <xdr:rowOff>2163921</xdr:rowOff>
    </xdr:from>
    <xdr:to>
      <xdr:col>5</xdr:col>
      <xdr:colOff>0</xdr:colOff>
      <xdr:row>202</xdr:row>
      <xdr:rowOff>2733673</xdr:rowOff>
    </xdr:to>
    <xdr:grpSp>
      <xdr:nvGrpSpPr>
        <xdr:cNvPr id="501" name="МШ009"/>
        <xdr:cNvGrpSpPr/>
      </xdr:nvGrpSpPr>
      <xdr:grpSpPr>
        <a:xfrm>
          <a:off x="540327" y="89962946"/>
          <a:ext cx="6242858" cy="561440"/>
          <a:chOff x="542925" y="90298746"/>
          <a:chExt cx="6257925" cy="569752"/>
        </a:xfrm>
      </xdr:grpSpPr>
      <xdr:sp macro="" textlink="">
        <xdr:nvSpPr>
          <xdr:cNvPr id="466" name="Поле_МШ_ДокШифр"/>
          <xdr:cNvSpPr txBox="1">
            <a:spLocks noChangeArrowheads="1"/>
          </xdr:cNvSpPr>
        </xdr:nvSpPr>
        <xdr:spPr bwMode="auto">
          <a:xfrm>
            <a:off x="2744885" y="90308200"/>
            <a:ext cx="3702863" cy="56029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12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1329.340.110030.340-Р-100.039.007-КЖ-03-В-001</a:t>
            </a:r>
          </a:p>
        </xdr:txBody>
      </xdr:sp>
      <xdr:sp macro="" textlink="">
        <xdr:nvSpPr>
          <xdr:cNvPr id="467" name="Поле_МШ_Изм1"/>
          <xdr:cNvSpPr txBox="1">
            <a:spLocks noChangeArrowheads="1"/>
          </xdr:cNvSpPr>
        </xdr:nvSpPr>
        <xdr:spPr bwMode="auto">
          <a:xfrm>
            <a:off x="542925" y="90488662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68" name="Поле_МШ_ИзмКол1"/>
          <xdr:cNvSpPr txBox="1">
            <a:spLocks noChangeArrowheads="1"/>
          </xdr:cNvSpPr>
        </xdr:nvSpPr>
        <xdr:spPr bwMode="auto">
          <a:xfrm>
            <a:off x="886076" y="9048866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69" name="Поле_МШ_ИзмЛист1"/>
          <xdr:cNvSpPr txBox="1">
            <a:spLocks noChangeArrowheads="1"/>
          </xdr:cNvSpPr>
        </xdr:nvSpPr>
        <xdr:spPr bwMode="auto">
          <a:xfrm>
            <a:off x="1217330" y="9048866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0" name="Поле_MШ_ИзмДок1"/>
          <xdr:cNvSpPr txBox="1">
            <a:spLocks noChangeArrowheads="1"/>
          </xdr:cNvSpPr>
        </xdr:nvSpPr>
        <xdr:spPr bwMode="auto">
          <a:xfrm>
            <a:off x="1558117" y="90488662"/>
            <a:ext cx="333619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1" name="Поле_МШ_ИзмПодп1"/>
          <xdr:cNvSpPr txBox="1">
            <a:spLocks noChangeArrowheads="1"/>
          </xdr:cNvSpPr>
        </xdr:nvSpPr>
        <xdr:spPr bwMode="auto">
          <a:xfrm>
            <a:off x="1901268" y="90488662"/>
            <a:ext cx="483767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2" name="Поле_МШ_ИзмДата1"/>
          <xdr:cNvSpPr txBox="1">
            <a:spLocks noChangeArrowheads="1"/>
          </xdr:cNvSpPr>
        </xdr:nvSpPr>
        <xdr:spPr bwMode="auto">
          <a:xfrm>
            <a:off x="2404099" y="90488662"/>
            <a:ext cx="331256" cy="1804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3" name="Поле_МШ_Изм2"/>
          <xdr:cNvSpPr txBox="1">
            <a:spLocks noChangeArrowheads="1"/>
          </xdr:cNvSpPr>
        </xdr:nvSpPr>
        <xdr:spPr bwMode="auto">
          <a:xfrm>
            <a:off x="542925" y="90298746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4" name="Поле_МШ_ИзмКол2"/>
          <xdr:cNvSpPr txBox="1">
            <a:spLocks noChangeArrowheads="1"/>
          </xdr:cNvSpPr>
        </xdr:nvSpPr>
        <xdr:spPr bwMode="auto">
          <a:xfrm>
            <a:off x="886076" y="9029874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5" name="Поле_МШ_ИзмЛист2"/>
          <xdr:cNvSpPr txBox="1">
            <a:spLocks noChangeArrowheads="1"/>
          </xdr:cNvSpPr>
        </xdr:nvSpPr>
        <xdr:spPr bwMode="auto">
          <a:xfrm>
            <a:off x="1217330" y="9029874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6" name="Поле_МШ_ИзмДок2"/>
          <xdr:cNvSpPr txBox="1">
            <a:spLocks noChangeArrowheads="1"/>
          </xdr:cNvSpPr>
        </xdr:nvSpPr>
        <xdr:spPr bwMode="auto">
          <a:xfrm>
            <a:off x="1558117" y="90298746"/>
            <a:ext cx="333619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7" name="Поле_МШ_ИзмПодп2"/>
          <xdr:cNvSpPr txBox="1">
            <a:spLocks noChangeArrowheads="1"/>
          </xdr:cNvSpPr>
        </xdr:nvSpPr>
        <xdr:spPr bwMode="auto">
          <a:xfrm>
            <a:off x="1901268" y="90298746"/>
            <a:ext cx="483767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8" name="Поле_МШ_ИзмДата2"/>
          <xdr:cNvSpPr txBox="1">
            <a:spLocks noChangeArrowheads="1"/>
          </xdr:cNvSpPr>
        </xdr:nvSpPr>
        <xdr:spPr bwMode="auto">
          <a:xfrm>
            <a:off x="2404099" y="90298746"/>
            <a:ext cx="331256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  <a:p>
            <a:pPr algn="ctr" rtl="0">
              <a:defRPr sz="1000"/>
            </a:pPr>
            <a:endParaRPr lang="ru-RU" sz="8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479" name="Text Box 155"/>
          <xdr:cNvSpPr txBox="1">
            <a:spLocks noChangeArrowheads="1"/>
          </xdr:cNvSpPr>
        </xdr:nvSpPr>
        <xdr:spPr bwMode="auto">
          <a:xfrm>
            <a:off x="542925" y="90669127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Изм.</a:t>
            </a:r>
          </a:p>
        </xdr:txBody>
      </xdr:sp>
      <xdr:sp macro="" textlink="">
        <xdr:nvSpPr>
          <xdr:cNvPr id="480" name="Text Box 156"/>
          <xdr:cNvSpPr txBox="1">
            <a:spLocks noChangeArrowheads="1"/>
          </xdr:cNvSpPr>
        </xdr:nvSpPr>
        <xdr:spPr bwMode="auto">
          <a:xfrm>
            <a:off x="886076" y="90669127"/>
            <a:ext cx="331256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Кол.уч</a:t>
            </a:r>
          </a:p>
        </xdr:txBody>
      </xdr:sp>
      <xdr:sp macro="" textlink="">
        <xdr:nvSpPr>
          <xdr:cNvPr id="481" name="Text Box 157"/>
          <xdr:cNvSpPr txBox="1">
            <a:spLocks noChangeArrowheads="1"/>
          </xdr:cNvSpPr>
        </xdr:nvSpPr>
        <xdr:spPr bwMode="auto">
          <a:xfrm>
            <a:off x="1217330" y="90669127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482" name="Text Box 158"/>
          <xdr:cNvSpPr txBox="1">
            <a:spLocks noChangeArrowheads="1"/>
          </xdr:cNvSpPr>
        </xdr:nvSpPr>
        <xdr:spPr bwMode="auto">
          <a:xfrm>
            <a:off x="1558117" y="90669127"/>
            <a:ext cx="34315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№док.</a:t>
            </a:r>
          </a:p>
        </xdr:txBody>
      </xdr:sp>
      <xdr:sp macro="" textlink="">
        <xdr:nvSpPr>
          <xdr:cNvPr id="483" name="Text Box 159"/>
          <xdr:cNvSpPr txBox="1">
            <a:spLocks noChangeArrowheads="1"/>
          </xdr:cNvSpPr>
        </xdr:nvSpPr>
        <xdr:spPr bwMode="auto">
          <a:xfrm>
            <a:off x="1901268" y="90669127"/>
            <a:ext cx="502831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</a:t>
            </a:r>
          </a:p>
        </xdr:txBody>
      </xdr:sp>
      <xdr:sp macro="" textlink="">
        <xdr:nvSpPr>
          <xdr:cNvPr id="484" name="Text Box 160"/>
          <xdr:cNvSpPr txBox="1">
            <a:spLocks noChangeArrowheads="1"/>
          </xdr:cNvSpPr>
        </xdr:nvSpPr>
        <xdr:spPr bwMode="auto">
          <a:xfrm>
            <a:off x="6463477" y="90298746"/>
            <a:ext cx="337373" cy="1899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Лист</a:t>
            </a:r>
          </a:p>
        </xdr:txBody>
      </xdr:sp>
      <xdr:sp macro="" textlink="">
        <xdr:nvSpPr>
          <xdr:cNvPr id="485" name="Text Box 161"/>
          <xdr:cNvSpPr txBox="1">
            <a:spLocks noChangeArrowheads="1"/>
          </xdr:cNvSpPr>
        </xdr:nvSpPr>
        <xdr:spPr bwMode="auto">
          <a:xfrm>
            <a:off x="2404099" y="90669127"/>
            <a:ext cx="340788" cy="19936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Дата</a:t>
            </a:r>
          </a:p>
        </xdr:txBody>
      </xdr:sp>
      <xdr:sp macro="" textlink="">
        <xdr:nvSpPr>
          <xdr:cNvPr id="486" name="Поле_МШ_Лист"/>
          <xdr:cNvSpPr txBox="1">
            <a:spLocks noChangeArrowheads="1"/>
          </xdr:cNvSpPr>
        </xdr:nvSpPr>
        <xdr:spPr bwMode="auto">
          <a:xfrm>
            <a:off x="6462789" y="90491822"/>
            <a:ext cx="338061" cy="3766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9</a:t>
            </a:r>
          </a:p>
        </xdr:txBody>
      </xdr:sp>
      <xdr:sp macro="" textlink="">
        <xdr:nvSpPr>
          <xdr:cNvPr id="487" name="Line 163"/>
          <xdr:cNvSpPr>
            <a:spLocks noChangeShapeType="1"/>
          </xdr:cNvSpPr>
        </xdr:nvSpPr>
        <xdr:spPr bwMode="auto">
          <a:xfrm>
            <a:off x="542925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8" name="Line 164"/>
          <xdr:cNvSpPr>
            <a:spLocks noChangeShapeType="1"/>
          </xdr:cNvSpPr>
        </xdr:nvSpPr>
        <xdr:spPr bwMode="auto">
          <a:xfrm>
            <a:off x="6800850" y="90298746"/>
            <a:ext cx="0" cy="5697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9" name="Line 165"/>
          <xdr:cNvSpPr>
            <a:spLocks noChangeShapeType="1"/>
          </xdr:cNvSpPr>
        </xdr:nvSpPr>
        <xdr:spPr bwMode="auto">
          <a:xfrm>
            <a:off x="886076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0" name="Line 166"/>
          <xdr:cNvSpPr>
            <a:spLocks noChangeShapeType="1"/>
          </xdr:cNvSpPr>
        </xdr:nvSpPr>
        <xdr:spPr bwMode="auto">
          <a:xfrm>
            <a:off x="1217330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1" name="Line 167"/>
          <xdr:cNvSpPr>
            <a:spLocks noChangeShapeType="1"/>
          </xdr:cNvSpPr>
        </xdr:nvSpPr>
        <xdr:spPr bwMode="auto">
          <a:xfrm>
            <a:off x="1558117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2" name="Line 168"/>
          <xdr:cNvSpPr>
            <a:spLocks noChangeShapeType="1"/>
          </xdr:cNvSpPr>
        </xdr:nvSpPr>
        <xdr:spPr bwMode="auto">
          <a:xfrm>
            <a:off x="1901268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3" name="Line 169"/>
          <xdr:cNvSpPr>
            <a:spLocks noChangeShapeType="1"/>
          </xdr:cNvSpPr>
        </xdr:nvSpPr>
        <xdr:spPr bwMode="auto">
          <a:xfrm>
            <a:off x="2394567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4" name="Line 170"/>
          <xdr:cNvSpPr>
            <a:spLocks noChangeShapeType="1"/>
          </xdr:cNvSpPr>
        </xdr:nvSpPr>
        <xdr:spPr bwMode="auto">
          <a:xfrm>
            <a:off x="2744885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5" name="Line 171"/>
          <xdr:cNvSpPr>
            <a:spLocks noChangeShapeType="1"/>
          </xdr:cNvSpPr>
        </xdr:nvSpPr>
        <xdr:spPr bwMode="auto">
          <a:xfrm>
            <a:off x="542925" y="90298746"/>
            <a:ext cx="625792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6" name="Line 172"/>
          <xdr:cNvSpPr>
            <a:spLocks noChangeShapeType="1"/>
          </xdr:cNvSpPr>
        </xdr:nvSpPr>
        <xdr:spPr bwMode="auto">
          <a:xfrm>
            <a:off x="542925" y="90868498"/>
            <a:ext cx="6257925" cy="0"/>
          </a:xfrm>
          <a:prstGeom prst="line">
            <a:avLst/>
          </a:prstGeom>
          <a:noFill/>
          <a:ln w="0">
            <a:noFill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7" name="Line 173"/>
          <xdr:cNvSpPr>
            <a:spLocks noChangeShapeType="1"/>
          </xdr:cNvSpPr>
        </xdr:nvSpPr>
        <xdr:spPr bwMode="auto">
          <a:xfrm>
            <a:off x="542925" y="90488662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" name="Line 174"/>
          <xdr:cNvSpPr>
            <a:spLocks noChangeShapeType="1"/>
          </xdr:cNvSpPr>
        </xdr:nvSpPr>
        <xdr:spPr bwMode="auto">
          <a:xfrm>
            <a:off x="542925" y="90669127"/>
            <a:ext cx="220196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9" name="Line 175"/>
          <xdr:cNvSpPr>
            <a:spLocks noChangeShapeType="1"/>
          </xdr:cNvSpPr>
        </xdr:nvSpPr>
        <xdr:spPr bwMode="auto">
          <a:xfrm>
            <a:off x="6457699" y="90488021"/>
            <a:ext cx="343151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0" name="Line 176"/>
          <xdr:cNvSpPr>
            <a:spLocks noChangeShapeType="1"/>
          </xdr:cNvSpPr>
        </xdr:nvSpPr>
        <xdr:spPr bwMode="auto">
          <a:xfrm>
            <a:off x="6457700" y="90298746"/>
            <a:ext cx="0" cy="56975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0</xdr:col>
      <xdr:colOff>114300</xdr:colOff>
      <xdr:row>201</xdr:row>
      <xdr:rowOff>4743450</xdr:rowOff>
    </xdr:from>
    <xdr:to>
      <xdr:col>1</xdr:col>
      <xdr:colOff>0</xdr:colOff>
      <xdr:row>203</xdr:row>
      <xdr:rowOff>0</xdr:rowOff>
    </xdr:to>
    <xdr:grpSp>
      <xdr:nvGrpSpPr>
        <xdr:cNvPr id="502" name="БкШ009"/>
        <xdr:cNvGrpSpPr>
          <a:grpSpLocks/>
        </xdr:cNvGrpSpPr>
      </xdr:nvGrpSpPr>
      <xdr:grpSpPr bwMode="auto">
        <a:xfrm>
          <a:off x="114300" y="87355334"/>
          <a:ext cx="426027" cy="3170266"/>
          <a:chOff x="254532" y="6452366"/>
          <a:chExt cx="432712" cy="3225034"/>
        </a:xfrm>
      </xdr:grpSpPr>
      <xdr:sp macro="" textlink="">
        <xdr:nvSpPr>
          <xdr:cNvPr id="503" name="Line 178"/>
          <xdr:cNvSpPr>
            <a:spLocks noChangeShapeType="1"/>
          </xdr:cNvSpPr>
        </xdr:nvSpPr>
        <xdr:spPr bwMode="auto">
          <a:xfrm>
            <a:off x="257204" y="6452366"/>
            <a:ext cx="0" cy="322503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4" name="Line 179"/>
          <xdr:cNvSpPr>
            <a:spLocks noChangeShapeType="1"/>
          </xdr:cNvSpPr>
        </xdr:nvSpPr>
        <xdr:spPr bwMode="auto">
          <a:xfrm>
            <a:off x="438721" y="6452366"/>
            <a:ext cx="0" cy="321537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5" name="Line 180"/>
          <xdr:cNvSpPr>
            <a:spLocks noChangeShapeType="1"/>
          </xdr:cNvSpPr>
        </xdr:nvSpPr>
        <xdr:spPr bwMode="auto">
          <a:xfrm>
            <a:off x="257334" y="6452366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6" name="Line 181"/>
          <xdr:cNvSpPr>
            <a:spLocks noChangeShapeType="1"/>
          </xdr:cNvSpPr>
        </xdr:nvSpPr>
        <xdr:spPr bwMode="auto">
          <a:xfrm>
            <a:off x="257204" y="9667744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7" name="Line 182"/>
          <xdr:cNvSpPr>
            <a:spLocks noChangeShapeType="1"/>
          </xdr:cNvSpPr>
        </xdr:nvSpPr>
        <xdr:spPr bwMode="auto">
          <a:xfrm>
            <a:off x="254532" y="73986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8" name="Line 183"/>
          <xdr:cNvSpPr>
            <a:spLocks noChangeShapeType="1"/>
          </xdr:cNvSpPr>
        </xdr:nvSpPr>
        <xdr:spPr bwMode="auto">
          <a:xfrm>
            <a:off x="257204" y="8731133"/>
            <a:ext cx="429910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9" name="TextBox 355"/>
          <xdr:cNvSpPr txBox="1">
            <a:spLocks noChangeArrowheads="1"/>
          </xdr:cNvSpPr>
        </xdr:nvSpPr>
        <xdr:spPr bwMode="auto">
          <a:xfrm>
            <a:off x="254532" y="6452366"/>
            <a:ext cx="182701" cy="94626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Взам. инв. №</a:t>
            </a:r>
          </a:p>
        </xdr:txBody>
      </xdr:sp>
      <xdr:sp macro="" textlink="">
        <xdr:nvSpPr>
          <xdr:cNvPr id="510" name="TextBox 356"/>
          <xdr:cNvSpPr txBox="1">
            <a:spLocks noChangeArrowheads="1"/>
          </xdr:cNvSpPr>
        </xdr:nvSpPr>
        <xdr:spPr bwMode="auto">
          <a:xfrm>
            <a:off x="254532" y="8731133"/>
            <a:ext cx="182701" cy="9366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Инв. № подл.</a:t>
            </a:r>
          </a:p>
        </xdr:txBody>
      </xdr:sp>
      <xdr:sp macro="" textlink="">
        <xdr:nvSpPr>
          <xdr:cNvPr id="511" name="TextBox 357"/>
          <xdr:cNvSpPr txBox="1">
            <a:spLocks noChangeArrowheads="1"/>
          </xdr:cNvSpPr>
        </xdr:nvSpPr>
        <xdr:spPr bwMode="auto">
          <a:xfrm>
            <a:off x="254532" y="7408289"/>
            <a:ext cx="173085" cy="13228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r>
              <a:rPr lang="ru-RU" sz="90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Подпись и дата</a:t>
            </a:r>
          </a:p>
        </xdr:txBody>
      </xdr:sp>
      <xdr:sp macro="" textlink="">
        <xdr:nvSpPr>
          <xdr:cNvPr id="512" name="Поле_БкШ_Взам"/>
          <xdr:cNvSpPr txBox="1">
            <a:spLocks noChangeArrowheads="1"/>
          </xdr:cNvSpPr>
        </xdr:nvSpPr>
        <xdr:spPr bwMode="auto">
          <a:xfrm>
            <a:off x="438721" y="6452366"/>
            <a:ext cx="248393" cy="936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3" name="Поле_БкШ_Подл"/>
          <xdr:cNvSpPr txBox="1">
            <a:spLocks noChangeArrowheads="1"/>
          </xdr:cNvSpPr>
        </xdr:nvSpPr>
        <xdr:spPr bwMode="auto">
          <a:xfrm>
            <a:off x="438721" y="8731133"/>
            <a:ext cx="248393" cy="9462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Начало"/>
  <dimension ref="A7:A20"/>
  <sheetViews>
    <sheetView workbookViewId="0">
      <selection activeCell="J15" sqref="J15"/>
    </sheetView>
  </sheetViews>
  <sheetFormatPr defaultRowHeight="12.45" x14ac:dyDescent="0.2"/>
  <cols>
    <col min="1" max="1" width="91.625" customWidth="1"/>
  </cols>
  <sheetData>
    <row r="7" spans="1:1" ht="17.7" x14ac:dyDescent="0.2">
      <c r="A7" s="12" t="s">
        <v>39</v>
      </c>
    </row>
    <row r="9" spans="1:1" ht="60.05" customHeight="1" x14ac:dyDescent="0.2">
      <c r="A9" s="7" t="s">
        <v>29</v>
      </c>
    </row>
    <row r="10" spans="1:1" ht="39.299999999999997" x14ac:dyDescent="0.2">
      <c r="A10" s="7" t="s">
        <v>33</v>
      </c>
    </row>
    <row r="12" spans="1:1" ht="13.1" x14ac:dyDescent="0.2">
      <c r="A12" s="9" t="s">
        <v>8</v>
      </c>
    </row>
    <row r="13" spans="1:1" ht="37.35" x14ac:dyDescent="0.2">
      <c r="A13" t="s">
        <v>19</v>
      </c>
    </row>
    <row r="14" spans="1:1" ht="24.9" x14ac:dyDescent="0.2">
      <c r="A14" t="s">
        <v>30</v>
      </c>
    </row>
    <row r="15" spans="1:1" ht="37.35" x14ac:dyDescent="0.2">
      <c r="A15" t="s">
        <v>31</v>
      </c>
    </row>
    <row r="16" spans="1:1" ht="51.05" x14ac:dyDescent="0.2">
      <c r="A16" t="s">
        <v>16</v>
      </c>
    </row>
    <row r="17" spans="1:1" ht="113.9" x14ac:dyDescent="0.2">
      <c r="A17" t="s">
        <v>25</v>
      </c>
    </row>
    <row r="18" spans="1:1" ht="37.35" x14ac:dyDescent="0.2">
      <c r="A18" t="s">
        <v>15</v>
      </c>
    </row>
    <row r="19" spans="1:1" ht="50.4" x14ac:dyDescent="0.2">
      <c r="A19" t="s">
        <v>32</v>
      </c>
    </row>
    <row r="20" spans="1:1" ht="50.4" x14ac:dyDescent="0.2">
      <c r="A20" t="s">
        <v>17</v>
      </c>
    </row>
  </sheetData>
  <dataConsolidate/>
  <phoneticPr fontId="0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6" r:id="rId4" name="Button 2">
              <controlPr defaultSize="0" print="0" autoFill="0" autoPict="0" macro="[0]!КнопкаСформироватьДляПечати">
                <anchor>
                  <from>
                    <xdr:col>0</xdr:col>
                    <xdr:colOff>2435629</xdr:colOff>
                    <xdr:row>1</xdr:row>
                    <xdr:rowOff>0</xdr:rowOff>
                  </from>
                  <to>
                    <xdr:col>0</xdr:col>
                    <xdr:colOff>3699164</xdr:colOff>
                    <xdr:row>4</xdr:row>
                    <xdr:rowOff>58189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Реквизиты"/>
  <dimension ref="A1:N16"/>
  <sheetViews>
    <sheetView zoomScale="130" zoomScaleNormal="130" workbookViewId="0">
      <selection activeCell="J7" sqref="J7:K8"/>
    </sheetView>
  </sheetViews>
  <sheetFormatPr defaultColWidth="9.125" defaultRowHeight="12.45" x14ac:dyDescent="0.2"/>
  <cols>
    <col min="1" max="4" width="5.75" style="1" customWidth="1"/>
    <col min="5" max="5" width="7.375" style="1" customWidth="1"/>
    <col min="6" max="6" width="5" style="1" customWidth="1"/>
    <col min="7" max="7" width="35.375" style="1" customWidth="1"/>
    <col min="8" max="9" width="7.875" style="1" customWidth="1"/>
    <col min="10" max="11" width="5.125" style="1" customWidth="1"/>
    <col min="12" max="12" width="3.125" style="1" customWidth="1"/>
    <col min="13" max="13" width="32.25" style="1" customWidth="1"/>
    <col min="14" max="16384" width="9.125" style="1"/>
  </cols>
  <sheetData>
    <row r="1" spans="1:14" ht="12.8" customHeight="1" x14ac:dyDescent="0.2">
      <c r="A1" s="15"/>
      <c r="B1" s="15"/>
      <c r="C1" s="15"/>
      <c r="D1" s="15"/>
      <c r="E1" s="8"/>
      <c r="F1" s="15"/>
      <c r="G1" s="94"/>
      <c r="H1" s="95"/>
      <c r="I1" s="95"/>
      <c r="J1" s="78"/>
      <c r="K1" s="16" t="s">
        <v>34</v>
      </c>
      <c r="M1" s="21" t="s">
        <v>36</v>
      </c>
    </row>
    <row r="2" spans="1:14" ht="12.8" customHeight="1" x14ac:dyDescent="0.2">
      <c r="A2" s="15"/>
      <c r="B2" s="15"/>
      <c r="C2" s="15"/>
      <c r="D2" s="15"/>
      <c r="E2" s="8"/>
      <c r="F2" s="15"/>
      <c r="G2" s="79"/>
      <c r="H2" s="96"/>
      <c r="I2" s="96"/>
      <c r="J2" s="80"/>
      <c r="K2" s="20" t="s">
        <v>35</v>
      </c>
      <c r="M2" s="1" t="s">
        <v>37</v>
      </c>
      <c r="N2" s="22" t="s">
        <v>38</v>
      </c>
    </row>
    <row r="3" spans="1:14" ht="12.8" customHeight="1" x14ac:dyDescent="0.2">
      <c r="A3" s="15"/>
      <c r="B3" s="15"/>
      <c r="C3" s="15"/>
      <c r="D3" s="15"/>
      <c r="E3" s="8"/>
      <c r="F3" s="15"/>
      <c r="G3" s="97"/>
      <c r="H3" s="98"/>
      <c r="I3" s="98"/>
      <c r="J3" s="98"/>
      <c r="K3" s="99"/>
      <c r="M3" s="17"/>
    </row>
    <row r="4" spans="1:14" ht="12.8" customHeight="1" x14ac:dyDescent="0.2">
      <c r="A4" s="15"/>
      <c r="B4" s="15"/>
      <c r="C4" s="15"/>
      <c r="D4" s="15"/>
      <c r="E4" s="8"/>
      <c r="F4" s="15"/>
      <c r="G4" s="100"/>
      <c r="H4" s="101"/>
      <c r="I4" s="101"/>
      <c r="J4" s="101"/>
      <c r="K4" s="102"/>
    </row>
    <row r="5" spans="1:14" ht="12.8" customHeight="1" x14ac:dyDescent="0.2">
      <c r="A5" s="2" t="s">
        <v>1</v>
      </c>
      <c r="B5" s="2" t="s">
        <v>2</v>
      </c>
      <c r="C5" s="2" t="s">
        <v>3</v>
      </c>
      <c r="D5" s="2" t="s">
        <v>4</v>
      </c>
      <c r="E5" s="2" t="s">
        <v>18</v>
      </c>
      <c r="F5" s="2" t="s">
        <v>5</v>
      </c>
      <c r="G5" s="103"/>
      <c r="H5" s="104"/>
      <c r="I5" s="104"/>
      <c r="J5" s="104"/>
      <c r="K5" s="105"/>
    </row>
    <row r="6" spans="1:14" x14ac:dyDescent="0.2">
      <c r="A6" s="81" t="s">
        <v>20</v>
      </c>
      <c r="B6" s="81"/>
      <c r="C6" s="71"/>
      <c r="D6" s="71"/>
      <c r="E6" s="14"/>
      <c r="F6" s="10"/>
      <c r="G6" s="106"/>
      <c r="H6" s="18" t="s">
        <v>6</v>
      </c>
      <c r="I6" s="13" t="s">
        <v>3</v>
      </c>
      <c r="J6" s="109" t="s">
        <v>7</v>
      </c>
      <c r="K6" s="76"/>
      <c r="M6" s="17"/>
    </row>
    <row r="7" spans="1:14" x14ac:dyDescent="0.2">
      <c r="A7" s="110" t="s">
        <v>21</v>
      </c>
      <c r="B7" s="111"/>
      <c r="C7" s="71"/>
      <c r="D7" s="71"/>
      <c r="E7" s="14"/>
      <c r="F7" s="10"/>
      <c r="G7" s="107"/>
      <c r="H7" s="112" t="s">
        <v>9</v>
      </c>
      <c r="I7" s="114">
        <v>1</v>
      </c>
      <c r="J7" s="77">
        <v>9</v>
      </c>
      <c r="K7" s="78"/>
      <c r="M7" s="17"/>
    </row>
    <row r="8" spans="1:14" x14ac:dyDescent="0.2">
      <c r="A8" s="81" t="s">
        <v>22</v>
      </c>
      <c r="B8" s="81"/>
      <c r="C8" s="71"/>
      <c r="D8" s="71"/>
      <c r="E8" s="14"/>
      <c r="F8" s="10"/>
      <c r="G8" s="108"/>
      <c r="H8" s="113"/>
      <c r="I8" s="113"/>
      <c r="J8" s="79"/>
      <c r="K8" s="80"/>
    </row>
    <row r="9" spans="1:14" ht="12.8" customHeight="1" x14ac:dyDescent="0.2">
      <c r="A9" s="81" t="s">
        <v>23</v>
      </c>
      <c r="B9" s="81"/>
      <c r="C9" s="71"/>
      <c r="D9" s="71"/>
      <c r="E9" s="14"/>
      <c r="F9" s="10"/>
      <c r="G9" s="82" t="s">
        <v>59</v>
      </c>
      <c r="H9" s="85" t="s">
        <v>40</v>
      </c>
      <c r="I9" s="86"/>
      <c r="J9" s="86"/>
      <c r="K9" s="87"/>
      <c r="M9" s="19"/>
      <c r="N9" s="19"/>
    </row>
    <row r="10" spans="1:14" ht="12.8" customHeight="1" x14ac:dyDescent="0.2">
      <c r="A10" s="81" t="s">
        <v>24</v>
      </c>
      <c r="B10" s="81"/>
      <c r="C10" s="71"/>
      <c r="D10" s="71"/>
      <c r="E10" s="14"/>
      <c r="F10" s="10"/>
      <c r="G10" s="83"/>
      <c r="H10" s="88"/>
      <c r="I10" s="89"/>
      <c r="J10" s="89"/>
      <c r="K10" s="90"/>
    </row>
    <row r="11" spans="1:14" x14ac:dyDescent="0.2">
      <c r="A11" s="81" t="s">
        <v>67</v>
      </c>
      <c r="B11" s="81"/>
      <c r="C11" s="71" t="s">
        <v>67</v>
      </c>
      <c r="D11" s="71"/>
      <c r="E11" s="14"/>
      <c r="F11" s="10" t="s">
        <v>67</v>
      </c>
      <c r="G11" s="84"/>
      <c r="H11" s="91"/>
      <c r="I11" s="92"/>
      <c r="J11" s="92"/>
      <c r="K11" s="93"/>
    </row>
    <row r="16" spans="1:14" ht="27.85" customHeight="1" x14ac:dyDescent="0.2">
      <c r="A16" s="72" t="s">
        <v>0</v>
      </c>
      <c r="B16" s="72"/>
      <c r="C16" s="72"/>
      <c r="D16" s="72"/>
      <c r="E16" s="72"/>
      <c r="F16" s="73"/>
      <c r="G16" s="74">
        <f>БШ_ДокШифр</f>
        <v>0</v>
      </c>
      <c r="H16" s="75"/>
      <c r="I16" s="75"/>
      <c r="J16" s="75"/>
      <c r="K16" s="76"/>
    </row>
  </sheetData>
  <dataConsolidate/>
  <mergeCells count="23">
    <mergeCell ref="G1:J2"/>
    <mergeCell ref="G3:K5"/>
    <mergeCell ref="A6:B6"/>
    <mergeCell ref="C6:D6"/>
    <mergeCell ref="G6:G8"/>
    <mergeCell ref="J6:K6"/>
    <mergeCell ref="A7:B7"/>
    <mergeCell ref="C7:D7"/>
    <mergeCell ref="H7:H8"/>
    <mergeCell ref="I7:I8"/>
    <mergeCell ref="C11:D11"/>
    <mergeCell ref="A16:F16"/>
    <mergeCell ref="G16:K16"/>
    <mergeCell ref="J7:K8"/>
    <mergeCell ref="A8:B8"/>
    <mergeCell ref="C8:D8"/>
    <mergeCell ref="A9:B9"/>
    <mergeCell ref="C9:D9"/>
    <mergeCell ref="G9:G11"/>
    <mergeCell ref="H9:K11"/>
    <mergeCell ref="A10:B10"/>
    <mergeCell ref="C10:D10"/>
    <mergeCell ref="A11:B11"/>
  </mergeCells>
  <dataValidations disablePrompts="1" count="1">
    <dataValidation type="list" errorStyle="information" allowBlank="1" showInputMessage="1" sqref="N2">
      <formula1>"Да,Нет"</formula1>
    </dataValidation>
  </dataValidations>
  <pageMargins left="0" right="0" top="0" bottom="0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Данные">
    <tabColor rgb="FF00B0F0"/>
  </sheetPr>
  <dimension ref="A1:L303"/>
  <sheetViews>
    <sheetView showZeros="0" tabSelected="1" zoomScaleNormal="100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H22" sqref="H22"/>
    </sheetView>
  </sheetViews>
  <sheetFormatPr defaultColWidth="9.125" defaultRowHeight="14.4" x14ac:dyDescent="0.2"/>
  <cols>
    <col min="1" max="1" width="12" style="3" customWidth="1"/>
    <col min="2" max="2" width="10.125" style="24" customWidth="1"/>
    <col min="3" max="3" width="65.375" style="39" customWidth="1"/>
    <col min="4" max="4" width="15.375" style="24" customWidth="1"/>
    <col min="5" max="5" width="15.625" style="24" customWidth="1"/>
    <col min="6" max="6" width="23.375" style="55" customWidth="1"/>
    <col min="7" max="7" width="9.125" style="42"/>
    <col min="8" max="16384" width="9.125" style="3"/>
  </cols>
  <sheetData>
    <row r="1" spans="1:6" ht="28.8" x14ac:dyDescent="0.2">
      <c r="A1" s="4" t="s">
        <v>14</v>
      </c>
      <c r="B1" s="4" t="s">
        <v>26</v>
      </c>
      <c r="C1" s="4" t="s">
        <v>27</v>
      </c>
      <c r="D1" s="5" t="s">
        <v>28</v>
      </c>
      <c r="E1" s="5" t="s">
        <v>10</v>
      </c>
      <c r="F1" s="51"/>
    </row>
    <row r="2" spans="1:6" x14ac:dyDescent="0.2">
      <c r="A2" s="116"/>
      <c r="B2" s="116"/>
      <c r="C2" s="48"/>
      <c r="D2" s="117"/>
      <c r="E2" s="117"/>
      <c r="F2" s="51"/>
    </row>
    <row r="3" spans="1:6" x14ac:dyDescent="0.2">
      <c r="A3" s="56"/>
      <c r="B3" s="45"/>
      <c r="C3" s="46"/>
      <c r="D3" s="47"/>
      <c r="E3" s="47"/>
      <c r="F3" s="51"/>
    </row>
    <row r="4" spans="1:6" x14ac:dyDescent="0.2">
      <c r="A4" s="116"/>
      <c r="B4" s="45"/>
      <c r="C4" s="46"/>
      <c r="D4" s="47"/>
      <c r="E4" s="47"/>
      <c r="F4" s="51"/>
    </row>
    <row r="5" spans="1:6" x14ac:dyDescent="0.2">
      <c r="A5" s="56"/>
      <c r="B5" s="45"/>
      <c r="C5" s="48"/>
      <c r="D5" s="47"/>
      <c r="E5" s="47"/>
      <c r="F5" s="52"/>
    </row>
    <row r="6" spans="1:6" x14ac:dyDescent="0.2">
      <c r="A6" s="56"/>
      <c r="B6" s="45"/>
      <c r="C6" s="46"/>
      <c r="D6" s="47"/>
      <c r="E6" s="47"/>
      <c r="F6" s="52"/>
    </row>
    <row r="7" spans="1:6" x14ac:dyDescent="0.2">
      <c r="A7" s="56"/>
      <c r="B7" s="45"/>
      <c r="C7" s="46"/>
      <c r="D7" s="47"/>
      <c r="E7" s="47"/>
      <c r="F7" s="52"/>
    </row>
    <row r="8" spans="1:6" x14ac:dyDescent="0.2">
      <c r="A8" s="56"/>
      <c r="B8" s="45"/>
      <c r="C8" s="46"/>
      <c r="D8" s="47"/>
      <c r="E8" s="47"/>
      <c r="F8" s="52"/>
    </row>
    <row r="9" spans="1:6" x14ac:dyDescent="0.2">
      <c r="A9" s="56"/>
      <c r="B9" s="45"/>
      <c r="C9" s="46"/>
      <c r="D9" s="47"/>
      <c r="E9" s="47"/>
      <c r="F9" s="52"/>
    </row>
    <row r="10" spans="1:6" x14ac:dyDescent="0.2">
      <c r="A10" s="56"/>
      <c r="B10" s="45"/>
      <c r="C10" s="46"/>
      <c r="D10" s="47"/>
      <c r="E10" s="47"/>
      <c r="F10" s="52"/>
    </row>
    <row r="11" spans="1:6" x14ac:dyDescent="0.2">
      <c r="A11" s="56"/>
      <c r="B11" s="45"/>
      <c r="C11" s="46"/>
      <c r="D11" s="47"/>
      <c r="E11" s="47"/>
      <c r="F11" s="52"/>
    </row>
    <row r="12" spans="1:6" x14ac:dyDescent="0.2">
      <c r="A12" s="56"/>
      <c r="B12" s="45"/>
      <c r="C12" s="46"/>
      <c r="D12" s="47"/>
      <c r="E12" s="47"/>
      <c r="F12" s="52"/>
    </row>
    <row r="13" spans="1:6" x14ac:dyDescent="0.2">
      <c r="A13" s="56"/>
      <c r="B13" s="45"/>
      <c r="C13" s="46"/>
      <c r="D13" s="47"/>
      <c r="E13" s="47"/>
      <c r="F13" s="43"/>
    </row>
    <row r="14" spans="1:6" x14ac:dyDescent="0.2">
      <c r="A14" s="56"/>
      <c r="B14" s="45"/>
      <c r="C14" s="46"/>
      <c r="D14" s="47"/>
      <c r="E14" s="47"/>
      <c r="F14" s="43"/>
    </row>
    <row r="15" spans="1:6" x14ac:dyDescent="0.2">
      <c r="A15" s="56"/>
      <c r="B15" s="45"/>
      <c r="C15" s="48"/>
      <c r="D15" s="47"/>
      <c r="E15" s="47"/>
      <c r="F15" s="52"/>
    </row>
    <row r="16" spans="1:6" x14ac:dyDescent="0.2">
      <c r="A16" s="56"/>
      <c r="B16" s="45"/>
      <c r="C16" s="49"/>
      <c r="D16" s="47"/>
      <c r="E16" s="47"/>
      <c r="F16" s="53"/>
    </row>
    <row r="17" spans="1:6" x14ac:dyDescent="0.2">
      <c r="A17" s="56"/>
      <c r="B17" s="45"/>
      <c r="C17" s="46"/>
      <c r="D17" s="47"/>
      <c r="E17" s="47"/>
      <c r="F17" s="52"/>
    </row>
    <row r="18" spans="1:6" ht="28.5" customHeight="1" x14ac:dyDescent="0.2">
      <c r="A18" s="56"/>
      <c r="B18" s="45"/>
      <c r="C18" s="46"/>
      <c r="D18" s="47"/>
      <c r="E18" s="118"/>
      <c r="F18" s="52"/>
    </row>
    <row r="19" spans="1:6" x14ac:dyDescent="0.2">
      <c r="A19" s="56"/>
      <c r="B19" s="45"/>
      <c r="C19" s="46"/>
      <c r="D19" s="47"/>
      <c r="E19" s="47"/>
      <c r="F19" s="54"/>
    </row>
    <row r="20" spans="1:6" x14ac:dyDescent="0.2">
      <c r="A20" s="56"/>
      <c r="B20" s="45"/>
      <c r="C20" s="46"/>
      <c r="D20" s="47"/>
      <c r="E20" s="47"/>
      <c r="F20" s="54"/>
    </row>
    <row r="21" spans="1:6" x14ac:dyDescent="0.2">
      <c r="A21" s="56"/>
      <c r="B21" s="45"/>
      <c r="C21" s="46"/>
      <c r="D21" s="47"/>
      <c r="E21" s="47"/>
      <c r="F21" s="52"/>
    </row>
    <row r="22" spans="1:6" x14ac:dyDescent="0.2">
      <c r="A22" s="56"/>
      <c r="B22" s="45"/>
      <c r="C22" s="46"/>
      <c r="D22" s="47"/>
      <c r="E22" s="47"/>
      <c r="F22" s="52"/>
    </row>
    <row r="23" spans="1:6" x14ac:dyDescent="0.2">
      <c r="A23" s="56"/>
      <c r="B23" s="45"/>
      <c r="C23" s="46"/>
      <c r="D23" s="47"/>
      <c r="E23" s="47"/>
      <c r="F23" s="52"/>
    </row>
    <row r="24" spans="1:6" x14ac:dyDescent="0.2">
      <c r="A24" s="56"/>
      <c r="B24" s="45"/>
      <c r="C24" s="46"/>
      <c r="D24" s="47"/>
      <c r="E24" s="47"/>
      <c r="F24" s="52"/>
    </row>
    <row r="25" spans="1:6" x14ac:dyDescent="0.2">
      <c r="A25" s="56"/>
      <c r="B25" s="45"/>
      <c r="C25" s="46"/>
      <c r="D25" s="47"/>
      <c r="E25" s="47"/>
      <c r="F25" s="52"/>
    </row>
    <row r="26" spans="1:6" x14ac:dyDescent="0.2">
      <c r="A26" s="56"/>
      <c r="B26" s="45"/>
      <c r="C26" s="46"/>
      <c r="D26" s="47"/>
      <c r="E26" s="47"/>
      <c r="F26" s="52"/>
    </row>
    <row r="27" spans="1:6" x14ac:dyDescent="0.2">
      <c r="A27" s="56"/>
      <c r="B27" s="45"/>
      <c r="C27" s="46"/>
      <c r="D27" s="47"/>
      <c r="E27" s="47"/>
      <c r="F27" s="52"/>
    </row>
    <row r="28" spans="1:6" x14ac:dyDescent="0.2">
      <c r="A28" s="56"/>
      <c r="B28" s="45"/>
      <c r="C28" s="46"/>
      <c r="D28" s="47"/>
      <c r="E28" s="47"/>
      <c r="F28" s="52"/>
    </row>
    <row r="29" spans="1:6" x14ac:dyDescent="0.2">
      <c r="A29" s="56"/>
      <c r="B29" s="45"/>
      <c r="C29" s="46"/>
      <c r="D29" s="47"/>
      <c r="E29" s="47"/>
      <c r="F29" s="52"/>
    </row>
    <row r="30" spans="1:6" x14ac:dyDescent="0.2">
      <c r="A30" s="56"/>
      <c r="B30" s="45"/>
      <c r="C30" s="49"/>
      <c r="D30" s="47"/>
      <c r="E30" s="47"/>
      <c r="F30" s="53"/>
    </row>
    <row r="31" spans="1:6" x14ac:dyDescent="0.2">
      <c r="A31" s="56"/>
      <c r="B31" s="45"/>
      <c r="C31" s="46"/>
      <c r="D31" s="47"/>
      <c r="E31" s="47"/>
      <c r="F31" s="52"/>
    </row>
    <row r="32" spans="1:6" x14ac:dyDescent="0.2">
      <c r="A32" s="56"/>
      <c r="B32" s="45"/>
      <c r="C32" s="46"/>
      <c r="D32" s="47"/>
      <c r="E32" s="118"/>
      <c r="F32" s="52"/>
    </row>
    <row r="33" spans="1:6" x14ac:dyDescent="0.2">
      <c r="A33" s="56"/>
      <c r="B33" s="45"/>
      <c r="C33" s="46"/>
      <c r="D33" s="47"/>
      <c r="E33" s="47"/>
      <c r="F33" s="54"/>
    </row>
    <row r="34" spans="1:6" x14ac:dyDescent="0.2">
      <c r="A34" s="56"/>
      <c r="B34" s="45"/>
      <c r="C34" s="46"/>
      <c r="D34" s="47"/>
      <c r="E34" s="47"/>
      <c r="F34" s="54"/>
    </row>
    <row r="35" spans="1:6" x14ac:dyDescent="0.2">
      <c r="A35" s="56"/>
      <c r="B35" s="45"/>
      <c r="C35" s="46"/>
      <c r="D35" s="47"/>
      <c r="E35" s="47"/>
      <c r="F35" s="52"/>
    </row>
    <row r="36" spans="1:6" x14ac:dyDescent="0.2">
      <c r="A36" s="56"/>
      <c r="B36" s="45"/>
      <c r="C36" s="46"/>
      <c r="D36" s="47"/>
      <c r="E36" s="47"/>
      <c r="F36" s="52"/>
    </row>
    <row r="37" spans="1:6" x14ac:dyDescent="0.2">
      <c r="A37" s="56"/>
      <c r="B37" s="45"/>
      <c r="C37" s="46"/>
      <c r="D37" s="47"/>
      <c r="E37" s="47"/>
      <c r="F37" s="52"/>
    </row>
    <row r="38" spans="1:6" x14ac:dyDescent="0.2">
      <c r="A38" s="56"/>
      <c r="B38" s="45"/>
      <c r="C38" s="46"/>
      <c r="D38" s="47"/>
      <c r="E38" s="47"/>
      <c r="F38" s="52"/>
    </row>
    <row r="39" spans="1:6" x14ac:dyDescent="0.2">
      <c r="A39" s="56"/>
      <c r="B39" s="45"/>
      <c r="C39" s="46"/>
      <c r="D39" s="47"/>
      <c r="E39" s="47"/>
      <c r="F39" s="52"/>
    </row>
    <row r="40" spans="1:6" x14ac:dyDescent="0.2">
      <c r="A40" s="56"/>
      <c r="B40" s="45"/>
      <c r="C40" s="46"/>
      <c r="D40" s="47"/>
      <c r="E40" s="47"/>
      <c r="F40" s="52"/>
    </row>
    <row r="41" spans="1:6" x14ac:dyDescent="0.2">
      <c r="A41" s="56"/>
      <c r="B41" s="45"/>
      <c r="C41" s="46"/>
      <c r="D41" s="47"/>
      <c r="E41" s="47"/>
      <c r="F41" s="52"/>
    </row>
    <row r="42" spans="1:6" x14ac:dyDescent="0.2">
      <c r="A42" s="56"/>
      <c r="B42" s="45"/>
      <c r="C42" s="46"/>
      <c r="D42" s="47"/>
      <c r="E42" s="47"/>
      <c r="F42" s="52"/>
    </row>
    <row r="43" spans="1:6" x14ac:dyDescent="0.2">
      <c r="A43" s="56"/>
      <c r="B43" s="45"/>
      <c r="C43" s="46"/>
      <c r="D43" s="47"/>
      <c r="E43" s="47"/>
      <c r="F43" s="52"/>
    </row>
    <row r="44" spans="1:6" x14ac:dyDescent="0.2">
      <c r="A44" s="56"/>
      <c r="B44" s="45"/>
      <c r="C44" s="49"/>
      <c r="D44" s="47"/>
      <c r="E44" s="47"/>
      <c r="F44" s="53"/>
    </row>
    <row r="45" spans="1:6" x14ac:dyDescent="0.2">
      <c r="A45" s="56"/>
      <c r="B45" s="45"/>
      <c r="C45" s="46"/>
      <c r="D45" s="47"/>
      <c r="E45" s="47"/>
      <c r="F45" s="52"/>
    </row>
    <row r="46" spans="1:6" x14ac:dyDescent="0.2">
      <c r="A46" s="56"/>
      <c r="B46" s="45"/>
      <c r="C46" s="46"/>
      <c r="D46" s="47"/>
      <c r="E46" s="118"/>
      <c r="F46" s="52"/>
    </row>
    <row r="47" spans="1:6" x14ac:dyDescent="0.2">
      <c r="A47" s="56"/>
      <c r="B47" s="45"/>
      <c r="C47" s="46"/>
      <c r="D47" s="47"/>
      <c r="E47" s="47"/>
      <c r="F47" s="54"/>
    </row>
    <row r="48" spans="1:6" x14ac:dyDescent="0.2">
      <c r="A48" s="56"/>
      <c r="B48" s="45"/>
      <c r="C48" s="46"/>
      <c r="D48" s="47"/>
      <c r="E48" s="47"/>
      <c r="F48" s="54"/>
    </row>
    <row r="49" spans="1:12" x14ac:dyDescent="0.2">
      <c r="A49" s="56"/>
      <c r="B49" s="45"/>
      <c r="C49" s="46"/>
      <c r="D49" s="47"/>
      <c r="E49" s="47"/>
      <c r="F49" s="52"/>
    </row>
    <row r="50" spans="1:12" x14ac:dyDescent="0.2">
      <c r="A50" s="56"/>
      <c r="B50" s="45"/>
      <c r="C50" s="46"/>
      <c r="D50" s="47"/>
      <c r="E50" s="47"/>
      <c r="F50" s="52"/>
    </row>
    <row r="51" spans="1:12" x14ac:dyDescent="0.2">
      <c r="A51" s="56"/>
      <c r="B51" s="45"/>
      <c r="C51" s="46"/>
      <c r="D51" s="47"/>
      <c r="E51" s="47"/>
      <c r="F51" s="52"/>
    </row>
    <row r="52" spans="1:12" x14ac:dyDescent="0.2">
      <c r="A52" s="56"/>
      <c r="B52" s="45"/>
      <c r="C52" s="46"/>
      <c r="D52" s="47"/>
      <c r="E52" s="47"/>
      <c r="F52" s="52"/>
    </row>
    <row r="53" spans="1:12" x14ac:dyDescent="0.2">
      <c r="A53" s="56"/>
      <c r="B53" s="45"/>
      <c r="C53" s="46"/>
      <c r="D53" s="47"/>
      <c r="E53" s="47"/>
      <c r="F53" s="52"/>
    </row>
    <row r="54" spans="1:12" x14ac:dyDescent="0.2">
      <c r="A54" s="56"/>
      <c r="B54" s="45"/>
      <c r="C54" s="46"/>
      <c r="D54" s="47"/>
      <c r="E54" s="47"/>
      <c r="F54" s="52"/>
    </row>
    <row r="55" spans="1:12" x14ac:dyDescent="0.2">
      <c r="A55" s="56"/>
      <c r="B55" s="45"/>
      <c r="C55" s="46"/>
      <c r="D55" s="47"/>
      <c r="E55" s="47"/>
      <c r="F55" s="52"/>
    </row>
    <row r="56" spans="1:12" x14ac:dyDescent="0.2">
      <c r="A56" s="56"/>
      <c r="B56" s="45"/>
      <c r="C56" s="46"/>
      <c r="D56" s="47"/>
      <c r="E56" s="47"/>
      <c r="F56" s="52"/>
    </row>
    <row r="57" spans="1:12" x14ac:dyDescent="0.2">
      <c r="A57" s="56"/>
      <c r="B57" s="45"/>
      <c r="C57" s="46"/>
      <c r="D57" s="47"/>
      <c r="E57" s="47"/>
      <c r="F57" s="52"/>
    </row>
    <row r="58" spans="1:12" x14ac:dyDescent="0.2">
      <c r="A58" s="56"/>
      <c r="B58" s="45"/>
      <c r="C58" s="49"/>
      <c r="D58" s="47"/>
      <c r="E58" s="47"/>
      <c r="F58" s="53"/>
      <c r="L58" s="26"/>
    </row>
    <row r="59" spans="1:12" x14ac:dyDescent="0.2">
      <c r="A59" s="56"/>
      <c r="B59" s="45"/>
      <c r="C59" s="46"/>
      <c r="D59" s="47"/>
      <c r="E59" s="47"/>
      <c r="F59" s="52"/>
      <c r="L59" s="26"/>
    </row>
    <row r="60" spans="1:12" x14ac:dyDescent="0.2">
      <c r="A60" s="56"/>
      <c r="B60" s="45"/>
      <c r="C60" s="46"/>
      <c r="D60" s="47"/>
      <c r="E60" s="118"/>
      <c r="F60" s="52"/>
      <c r="L60" s="26"/>
    </row>
    <row r="61" spans="1:12" x14ac:dyDescent="0.2">
      <c r="A61" s="56"/>
      <c r="B61" s="45"/>
      <c r="C61" s="46"/>
      <c r="D61" s="47"/>
      <c r="E61" s="47"/>
      <c r="F61" s="54"/>
      <c r="L61" s="26"/>
    </row>
    <row r="62" spans="1:12" x14ac:dyDescent="0.2">
      <c r="A62" s="56"/>
      <c r="B62" s="45"/>
      <c r="C62" s="46"/>
      <c r="D62" s="47"/>
      <c r="E62" s="47"/>
      <c r="F62" s="54"/>
      <c r="L62" s="26"/>
    </row>
    <row r="63" spans="1:12" x14ac:dyDescent="0.2">
      <c r="A63" s="56"/>
      <c r="B63" s="45"/>
      <c r="C63" s="46"/>
      <c r="D63" s="47"/>
      <c r="E63" s="47"/>
      <c r="F63" s="52"/>
      <c r="L63" s="26"/>
    </row>
    <row r="64" spans="1:12" x14ac:dyDescent="0.2">
      <c r="A64" s="56"/>
      <c r="B64" s="45"/>
      <c r="C64" s="46"/>
      <c r="D64" s="47"/>
      <c r="E64" s="47"/>
      <c r="F64" s="52"/>
      <c r="L64" s="26"/>
    </row>
    <row r="65" spans="1:12" x14ac:dyDescent="0.2">
      <c r="A65" s="56"/>
      <c r="B65" s="45"/>
      <c r="C65" s="46"/>
      <c r="D65" s="47"/>
      <c r="E65" s="47"/>
      <c r="F65" s="52"/>
      <c r="L65" s="26"/>
    </row>
    <row r="66" spans="1:12" x14ac:dyDescent="0.2">
      <c r="A66" s="56"/>
      <c r="B66" s="45"/>
      <c r="C66" s="46"/>
      <c r="D66" s="47"/>
      <c r="E66" s="47"/>
      <c r="F66" s="52"/>
      <c r="L66" s="26"/>
    </row>
    <row r="67" spans="1:12" x14ac:dyDescent="0.2">
      <c r="A67" s="56"/>
      <c r="B67" s="45"/>
      <c r="C67" s="46"/>
      <c r="D67" s="47"/>
      <c r="E67" s="47"/>
      <c r="F67" s="52"/>
      <c r="L67" s="26"/>
    </row>
    <row r="68" spans="1:12" x14ac:dyDescent="0.2">
      <c r="A68" s="56"/>
      <c r="B68" s="45"/>
      <c r="C68" s="46"/>
      <c r="D68" s="47"/>
      <c r="E68" s="47"/>
      <c r="F68" s="52"/>
      <c r="L68" s="26"/>
    </row>
    <row r="69" spans="1:12" x14ac:dyDescent="0.2">
      <c r="A69" s="56"/>
      <c r="B69" s="45"/>
      <c r="C69" s="46"/>
      <c r="D69" s="47"/>
      <c r="E69" s="47"/>
      <c r="F69" s="52"/>
      <c r="L69" s="26"/>
    </row>
    <row r="70" spans="1:12" x14ac:dyDescent="0.2">
      <c r="A70" s="56"/>
      <c r="B70" s="45"/>
      <c r="C70" s="46"/>
      <c r="D70" s="47"/>
      <c r="E70" s="47"/>
      <c r="F70" s="52"/>
    </row>
    <row r="71" spans="1:12" x14ac:dyDescent="0.2">
      <c r="A71" s="56"/>
      <c r="B71" s="45"/>
      <c r="C71" s="46"/>
      <c r="D71" s="47"/>
      <c r="E71" s="47"/>
      <c r="F71" s="52"/>
    </row>
    <row r="72" spans="1:12" x14ac:dyDescent="0.2">
      <c r="A72" s="56"/>
      <c r="B72" s="45"/>
      <c r="C72" s="49"/>
      <c r="D72" s="47"/>
      <c r="E72" s="47"/>
      <c r="F72" s="53"/>
    </row>
    <row r="73" spans="1:12" x14ac:dyDescent="0.2">
      <c r="A73" s="56"/>
      <c r="B73" s="45"/>
      <c r="C73" s="46"/>
      <c r="D73" s="47"/>
      <c r="E73" s="47"/>
      <c r="F73" s="52"/>
    </row>
    <row r="74" spans="1:12" x14ac:dyDescent="0.2">
      <c r="A74" s="56"/>
      <c r="B74" s="45"/>
      <c r="C74" s="46"/>
      <c r="D74" s="47"/>
      <c r="E74" s="118"/>
      <c r="F74" s="52"/>
    </row>
    <row r="75" spans="1:12" x14ac:dyDescent="0.2">
      <c r="A75" s="56"/>
      <c r="B75" s="45"/>
      <c r="C75" s="46"/>
      <c r="D75" s="47"/>
      <c r="E75" s="47"/>
      <c r="F75" s="54"/>
    </row>
    <row r="76" spans="1:12" x14ac:dyDescent="0.2">
      <c r="A76" s="56"/>
      <c r="B76" s="45"/>
      <c r="C76" s="46"/>
      <c r="D76" s="47"/>
      <c r="E76" s="47"/>
      <c r="F76" s="54"/>
    </row>
    <row r="77" spans="1:12" x14ac:dyDescent="0.2">
      <c r="A77" s="56"/>
      <c r="B77" s="45"/>
      <c r="C77" s="46"/>
      <c r="D77" s="47"/>
      <c r="E77" s="47"/>
      <c r="F77" s="52"/>
    </row>
    <row r="78" spans="1:12" x14ac:dyDescent="0.2">
      <c r="A78" s="56"/>
      <c r="B78" s="45"/>
      <c r="C78" s="46"/>
      <c r="D78" s="47"/>
      <c r="E78" s="47"/>
      <c r="F78" s="52"/>
    </row>
    <row r="79" spans="1:12" x14ac:dyDescent="0.2">
      <c r="A79" s="56"/>
      <c r="B79" s="45"/>
      <c r="C79" s="46"/>
      <c r="D79" s="47"/>
      <c r="E79" s="47"/>
      <c r="F79" s="52"/>
    </row>
    <row r="80" spans="1:12" x14ac:dyDescent="0.2">
      <c r="A80" s="56"/>
      <c r="B80" s="45"/>
      <c r="C80" s="46"/>
      <c r="D80" s="47"/>
      <c r="E80" s="47"/>
      <c r="F80" s="52"/>
    </row>
    <row r="81" spans="1:6" x14ac:dyDescent="0.2">
      <c r="A81" s="56"/>
      <c r="B81" s="45"/>
      <c r="C81" s="46"/>
      <c r="D81" s="47"/>
      <c r="E81" s="47"/>
      <c r="F81" s="52"/>
    </row>
    <row r="82" spans="1:6" x14ac:dyDescent="0.2">
      <c r="A82" s="56"/>
      <c r="B82" s="45"/>
      <c r="C82" s="46"/>
      <c r="D82" s="47"/>
      <c r="E82" s="47"/>
      <c r="F82" s="52"/>
    </row>
    <row r="83" spans="1:6" x14ac:dyDescent="0.2">
      <c r="A83" s="56"/>
      <c r="B83" s="45"/>
      <c r="C83" s="46"/>
      <c r="D83" s="47"/>
      <c r="E83" s="47"/>
      <c r="F83" s="52"/>
    </row>
    <row r="84" spans="1:6" x14ac:dyDescent="0.2">
      <c r="A84" s="56"/>
      <c r="B84" s="45"/>
      <c r="C84" s="46"/>
      <c r="D84" s="47"/>
      <c r="E84" s="47"/>
      <c r="F84" s="52"/>
    </row>
    <row r="85" spans="1:6" x14ac:dyDescent="0.2">
      <c r="A85" s="56"/>
      <c r="B85" s="45"/>
      <c r="C85" s="46"/>
      <c r="D85" s="47"/>
      <c r="E85" s="47"/>
      <c r="F85" s="52"/>
    </row>
    <row r="86" spans="1:6" x14ac:dyDescent="0.2">
      <c r="A86" s="56"/>
      <c r="B86" s="45"/>
      <c r="C86" s="49"/>
      <c r="D86" s="47"/>
      <c r="E86" s="47"/>
      <c r="F86" s="53"/>
    </row>
    <row r="87" spans="1:6" x14ac:dyDescent="0.2">
      <c r="A87" s="56"/>
      <c r="B87" s="45"/>
      <c r="C87" s="46"/>
      <c r="D87" s="47"/>
      <c r="E87" s="47"/>
      <c r="F87" s="52"/>
    </row>
    <row r="88" spans="1:6" x14ac:dyDescent="0.2">
      <c r="A88" s="56"/>
      <c r="B88" s="45"/>
      <c r="C88" s="46"/>
      <c r="D88" s="47"/>
      <c r="E88" s="118"/>
      <c r="F88" s="52"/>
    </row>
    <row r="89" spans="1:6" x14ac:dyDescent="0.2">
      <c r="A89" s="56"/>
      <c r="B89" s="45"/>
      <c r="C89" s="46"/>
      <c r="D89" s="47"/>
      <c r="E89" s="47"/>
      <c r="F89" s="54"/>
    </row>
    <row r="90" spans="1:6" x14ac:dyDescent="0.2">
      <c r="A90" s="56"/>
      <c r="B90" s="45"/>
      <c r="C90" s="46"/>
      <c r="D90" s="47"/>
      <c r="E90" s="47"/>
      <c r="F90" s="54"/>
    </row>
    <row r="91" spans="1:6" x14ac:dyDescent="0.2">
      <c r="A91" s="56"/>
      <c r="B91" s="45"/>
      <c r="C91" s="46"/>
      <c r="D91" s="47"/>
      <c r="E91" s="47"/>
      <c r="F91" s="52"/>
    </row>
    <row r="92" spans="1:6" x14ac:dyDescent="0.2">
      <c r="A92" s="56"/>
      <c r="B92" s="45"/>
      <c r="C92" s="46"/>
      <c r="D92" s="47"/>
      <c r="E92" s="47"/>
      <c r="F92" s="52"/>
    </row>
    <row r="93" spans="1:6" x14ac:dyDescent="0.2">
      <c r="A93" s="56"/>
      <c r="B93" s="45"/>
      <c r="C93" s="46"/>
      <c r="D93" s="47"/>
      <c r="E93" s="47"/>
      <c r="F93" s="52"/>
    </row>
    <row r="94" spans="1:6" x14ac:dyDescent="0.2">
      <c r="A94" s="56"/>
      <c r="B94" s="45"/>
      <c r="C94" s="46"/>
      <c r="D94" s="47"/>
      <c r="E94" s="47"/>
      <c r="F94" s="52"/>
    </row>
    <row r="95" spans="1:6" x14ac:dyDescent="0.2">
      <c r="A95" s="56"/>
      <c r="B95" s="45"/>
      <c r="C95" s="46"/>
      <c r="D95" s="47"/>
      <c r="E95" s="47"/>
      <c r="F95" s="52"/>
    </row>
    <row r="96" spans="1:6" x14ac:dyDescent="0.2">
      <c r="A96" s="56"/>
      <c r="B96" s="45"/>
      <c r="C96" s="46"/>
      <c r="D96" s="47"/>
      <c r="E96" s="47"/>
      <c r="F96" s="52"/>
    </row>
    <row r="97" spans="1:6" x14ac:dyDescent="0.2">
      <c r="A97" s="56"/>
      <c r="B97" s="45"/>
      <c r="C97" s="46"/>
      <c r="D97" s="47"/>
      <c r="E97" s="47"/>
      <c r="F97" s="52"/>
    </row>
    <row r="98" spans="1:6" x14ac:dyDescent="0.2">
      <c r="A98" s="56"/>
      <c r="B98" s="45"/>
      <c r="C98" s="46"/>
      <c r="D98" s="47"/>
      <c r="E98" s="47"/>
      <c r="F98" s="52"/>
    </row>
    <row r="99" spans="1:6" x14ac:dyDescent="0.2">
      <c r="A99" s="56"/>
      <c r="B99" s="45"/>
      <c r="C99" s="46"/>
      <c r="D99" s="47"/>
      <c r="E99" s="47"/>
      <c r="F99" s="52"/>
    </row>
    <row r="100" spans="1:6" x14ac:dyDescent="0.2">
      <c r="A100" s="56"/>
      <c r="B100" s="45"/>
      <c r="C100" s="49"/>
      <c r="D100" s="47"/>
      <c r="E100" s="47"/>
      <c r="F100" s="53"/>
    </row>
    <row r="101" spans="1:6" x14ac:dyDescent="0.2">
      <c r="A101" s="56"/>
      <c r="B101" s="45"/>
      <c r="C101" s="46"/>
      <c r="D101" s="47"/>
      <c r="E101" s="47"/>
      <c r="F101" s="52"/>
    </row>
    <row r="102" spans="1:6" x14ac:dyDescent="0.2">
      <c r="A102" s="56"/>
      <c r="B102" s="45"/>
      <c r="C102" s="46"/>
      <c r="D102" s="47"/>
      <c r="E102" s="118"/>
      <c r="F102" s="52"/>
    </row>
    <row r="103" spans="1:6" x14ac:dyDescent="0.2">
      <c r="A103" s="56"/>
      <c r="B103" s="45"/>
      <c r="C103" s="46"/>
      <c r="D103" s="47"/>
      <c r="E103" s="47"/>
      <c r="F103" s="54"/>
    </row>
    <row r="104" spans="1:6" x14ac:dyDescent="0.2">
      <c r="A104" s="56"/>
      <c r="B104" s="45"/>
      <c r="C104" s="46"/>
      <c r="D104" s="47"/>
      <c r="E104" s="47"/>
      <c r="F104" s="54"/>
    </row>
    <row r="105" spans="1:6" x14ac:dyDescent="0.2">
      <c r="A105" s="56"/>
      <c r="B105" s="45"/>
      <c r="C105" s="46"/>
      <c r="D105" s="47"/>
      <c r="E105" s="47"/>
      <c r="F105" s="52"/>
    </row>
    <row r="106" spans="1:6" x14ac:dyDescent="0.2">
      <c r="A106" s="56"/>
      <c r="B106" s="45"/>
      <c r="C106" s="46"/>
      <c r="D106" s="47"/>
      <c r="E106" s="47"/>
      <c r="F106" s="52"/>
    </row>
    <row r="107" spans="1:6" x14ac:dyDescent="0.2">
      <c r="A107" s="56"/>
      <c r="B107" s="45"/>
      <c r="C107" s="46"/>
      <c r="D107" s="47"/>
      <c r="E107" s="47"/>
      <c r="F107" s="52"/>
    </row>
    <row r="108" spans="1:6" x14ac:dyDescent="0.2">
      <c r="A108" s="56"/>
      <c r="B108" s="45"/>
      <c r="C108" s="46"/>
      <c r="D108" s="47"/>
      <c r="E108" s="47"/>
      <c r="F108" s="52"/>
    </row>
    <row r="109" spans="1:6" x14ac:dyDescent="0.2">
      <c r="A109" s="56"/>
      <c r="B109" s="45"/>
      <c r="C109" s="46"/>
      <c r="D109" s="47"/>
      <c r="E109" s="47"/>
      <c r="F109" s="52"/>
    </row>
    <row r="110" spans="1:6" x14ac:dyDescent="0.2">
      <c r="A110" s="56"/>
      <c r="B110" s="45"/>
      <c r="C110" s="46"/>
      <c r="D110" s="47"/>
      <c r="E110" s="47"/>
      <c r="F110" s="52"/>
    </row>
    <row r="111" spans="1:6" x14ac:dyDescent="0.2">
      <c r="A111" s="56"/>
      <c r="B111" s="45"/>
      <c r="C111" s="46"/>
      <c r="D111" s="47"/>
      <c r="E111" s="47"/>
      <c r="F111" s="52"/>
    </row>
    <row r="112" spans="1:6" x14ac:dyDescent="0.2">
      <c r="A112" s="56"/>
      <c r="B112" s="45"/>
      <c r="C112" s="46"/>
      <c r="D112" s="47"/>
      <c r="E112" s="47"/>
      <c r="F112" s="52"/>
    </row>
    <row r="113" spans="1:6" x14ac:dyDescent="0.2">
      <c r="A113" s="56"/>
      <c r="B113" s="45"/>
      <c r="C113" s="46"/>
      <c r="D113" s="47"/>
      <c r="E113" s="47"/>
      <c r="F113" s="52"/>
    </row>
    <row r="114" spans="1:6" ht="15.05" customHeight="1" x14ac:dyDescent="0.2">
      <c r="A114" s="56"/>
      <c r="B114" s="56"/>
      <c r="C114" s="49"/>
      <c r="D114" s="47"/>
      <c r="E114" s="47"/>
      <c r="F114" s="53"/>
    </row>
    <row r="115" spans="1:6" x14ac:dyDescent="0.2">
      <c r="A115" s="56"/>
      <c r="B115" s="45"/>
      <c r="C115" s="46"/>
      <c r="D115" s="47"/>
      <c r="E115" s="47"/>
      <c r="F115" s="52"/>
    </row>
    <row r="116" spans="1:6" x14ac:dyDescent="0.2">
      <c r="A116" s="56"/>
      <c r="B116" s="45"/>
      <c r="C116" s="46"/>
      <c r="D116" s="47"/>
      <c r="E116" s="118"/>
      <c r="F116" s="52"/>
    </row>
    <row r="117" spans="1:6" x14ac:dyDescent="0.2">
      <c r="A117" s="56"/>
      <c r="B117" s="45"/>
      <c r="C117" s="46"/>
      <c r="D117" s="47"/>
      <c r="E117" s="47"/>
      <c r="F117" s="54"/>
    </row>
    <row r="118" spans="1:6" x14ac:dyDescent="0.2">
      <c r="A118" s="56"/>
      <c r="B118" s="45"/>
      <c r="C118" s="46"/>
      <c r="D118" s="47"/>
      <c r="E118" s="47"/>
      <c r="F118" s="54"/>
    </row>
    <row r="119" spans="1:6" x14ac:dyDescent="0.2">
      <c r="A119" s="56"/>
      <c r="B119" s="45"/>
      <c r="C119" s="46"/>
      <c r="D119" s="47"/>
      <c r="E119" s="47"/>
      <c r="F119" s="52"/>
    </row>
    <row r="120" spans="1:6" x14ac:dyDescent="0.2">
      <c r="A120" s="56"/>
      <c r="B120" s="45"/>
      <c r="C120" s="46"/>
      <c r="D120" s="47"/>
      <c r="E120" s="47"/>
      <c r="F120" s="52"/>
    </row>
    <row r="121" spans="1:6" x14ac:dyDescent="0.2">
      <c r="A121" s="56"/>
      <c r="B121" s="45"/>
      <c r="C121" s="46"/>
      <c r="D121" s="47"/>
      <c r="E121" s="47"/>
      <c r="F121" s="52"/>
    </row>
    <row r="122" spans="1:6" x14ac:dyDescent="0.2">
      <c r="A122" s="56"/>
      <c r="B122" s="45"/>
      <c r="C122" s="46"/>
      <c r="D122" s="47"/>
      <c r="E122" s="47"/>
      <c r="F122" s="52"/>
    </row>
    <row r="123" spans="1:6" x14ac:dyDescent="0.2">
      <c r="A123" s="56"/>
      <c r="B123" s="45"/>
      <c r="C123" s="46"/>
      <c r="D123" s="47"/>
      <c r="E123" s="47"/>
      <c r="F123" s="52"/>
    </row>
    <row r="124" spans="1:6" x14ac:dyDescent="0.2">
      <c r="A124" s="56"/>
      <c r="B124" s="45"/>
      <c r="C124" s="46"/>
      <c r="D124" s="47"/>
      <c r="E124" s="47"/>
      <c r="F124" s="52"/>
    </row>
    <row r="125" spans="1:6" x14ac:dyDescent="0.2">
      <c r="A125" s="56"/>
      <c r="B125" s="45"/>
      <c r="C125" s="46"/>
      <c r="D125" s="47"/>
      <c r="E125" s="47"/>
      <c r="F125" s="58"/>
    </row>
    <row r="126" spans="1:6" x14ac:dyDescent="0.2">
      <c r="A126" s="56"/>
      <c r="B126" s="56"/>
      <c r="C126" s="49"/>
      <c r="D126" s="47"/>
      <c r="E126" s="47"/>
      <c r="F126" s="53"/>
    </row>
    <row r="127" spans="1:6" x14ac:dyDescent="0.2">
      <c r="A127" s="56"/>
      <c r="B127" s="45"/>
      <c r="C127" s="46"/>
      <c r="D127" s="47"/>
      <c r="E127" s="47"/>
      <c r="F127" s="52"/>
    </row>
    <row r="128" spans="1:6" x14ac:dyDescent="0.2">
      <c r="A128" s="56"/>
      <c r="B128" s="45"/>
      <c r="C128" s="46"/>
      <c r="D128" s="47"/>
      <c r="E128" s="118"/>
      <c r="F128" s="52"/>
    </row>
    <row r="129" spans="1:6" x14ac:dyDescent="0.2">
      <c r="A129" s="56"/>
      <c r="B129" s="45"/>
      <c r="C129" s="46"/>
      <c r="D129" s="47"/>
      <c r="E129" s="47"/>
      <c r="F129" s="54"/>
    </row>
    <row r="130" spans="1:6" x14ac:dyDescent="0.2">
      <c r="A130" s="56"/>
      <c r="B130" s="45"/>
      <c r="C130" s="46"/>
      <c r="D130" s="47"/>
      <c r="E130" s="47"/>
      <c r="F130" s="54"/>
    </row>
    <row r="131" spans="1:6" x14ac:dyDescent="0.2">
      <c r="A131" s="56"/>
      <c r="B131" s="45"/>
      <c r="C131" s="46"/>
      <c r="D131" s="47"/>
      <c r="E131" s="47"/>
      <c r="F131" s="52"/>
    </row>
    <row r="132" spans="1:6" x14ac:dyDescent="0.2">
      <c r="A132" s="56"/>
      <c r="B132" s="45"/>
      <c r="C132" s="46"/>
      <c r="D132" s="47"/>
      <c r="E132" s="47"/>
      <c r="F132" s="52"/>
    </row>
    <row r="133" spans="1:6" x14ac:dyDescent="0.2">
      <c r="A133" s="56"/>
      <c r="B133" s="45"/>
      <c r="C133" s="46"/>
      <c r="D133" s="47"/>
      <c r="E133" s="47"/>
      <c r="F133" s="52"/>
    </row>
    <row r="134" spans="1:6" x14ac:dyDescent="0.2">
      <c r="A134" s="56"/>
      <c r="B134" s="45"/>
      <c r="C134" s="46"/>
      <c r="D134" s="47"/>
      <c r="E134" s="47"/>
      <c r="F134" s="52"/>
    </row>
    <row r="135" spans="1:6" x14ac:dyDescent="0.2">
      <c r="A135" s="56"/>
      <c r="B135" s="45"/>
      <c r="C135" s="46"/>
      <c r="D135" s="47"/>
      <c r="E135" s="47"/>
      <c r="F135" s="52"/>
    </row>
    <row r="136" spans="1:6" x14ac:dyDescent="0.2">
      <c r="A136" s="56"/>
      <c r="B136" s="45"/>
      <c r="C136" s="46"/>
      <c r="D136" s="47"/>
      <c r="E136" s="47"/>
      <c r="F136" s="52"/>
    </row>
    <row r="137" spans="1:6" x14ac:dyDescent="0.2">
      <c r="A137" s="56"/>
      <c r="B137" s="45"/>
      <c r="C137" s="46"/>
      <c r="D137" s="47"/>
      <c r="E137" s="47"/>
      <c r="F137" s="52"/>
    </row>
    <row r="138" spans="1:6" x14ac:dyDescent="0.2">
      <c r="A138" s="56"/>
      <c r="B138" s="45"/>
      <c r="C138" s="46"/>
      <c r="D138" s="47"/>
      <c r="E138" s="47"/>
      <c r="F138" s="52"/>
    </row>
    <row r="139" spans="1:6" x14ac:dyDescent="0.2">
      <c r="A139" s="56"/>
      <c r="B139" s="45"/>
      <c r="C139" s="46"/>
      <c r="D139" s="47"/>
      <c r="E139" s="47"/>
      <c r="F139" s="52"/>
    </row>
    <row r="140" spans="1:6" x14ac:dyDescent="0.2">
      <c r="A140" s="56"/>
      <c r="B140" s="56"/>
      <c r="C140" s="49"/>
      <c r="D140" s="47"/>
      <c r="E140" s="47"/>
      <c r="F140" s="53"/>
    </row>
    <row r="141" spans="1:6" x14ac:dyDescent="0.2">
      <c r="A141" s="56"/>
      <c r="B141" s="45"/>
      <c r="C141" s="46"/>
      <c r="D141" s="47"/>
      <c r="E141" s="47"/>
      <c r="F141" s="52"/>
    </row>
    <row r="142" spans="1:6" x14ac:dyDescent="0.2">
      <c r="A142" s="56"/>
      <c r="B142" s="45"/>
      <c r="C142" s="46"/>
      <c r="D142" s="47"/>
      <c r="E142" s="118"/>
      <c r="F142" s="52"/>
    </row>
    <row r="143" spans="1:6" x14ac:dyDescent="0.2">
      <c r="A143" s="56"/>
      <c r="B143" s="45"/>
      <c r="C143" s="46"/>
      <c r="D143" s="47"/>
      <c r="E143" s="47"/>
      <c r="F143" s="54"/>
    </row>
    <row r="144" spans="1:6" x14ac:dyDescent="0.2">
      <c r="A144" s="56"/>
      <c r="B144" s="45"/>
      <c r="C144" s="46"/>
      <c r="D144" s="47"/>
      <c r="E144" s="47"/>
      <c r="F144" s="54"/>
    </row>
    <row r="145" spans="1:6" x14ac:dyDescent="0.2">
      <c r="A145" s="56"/>
      <c r="B145" s="45"/>
      <c r="C145" s="46"/>
      <c r="D145" s="47"/>
      <c r="E145" s="47"/>
      <c r="F145" s="52"/>
    </row>
    <row r="146" spans="1:6" x14ac:dyDescent="0.2">
      <c r="A146" s="56"/>
      <c r="B146" s="45"/>
      <c r="C146" s="46"/>
      <c r="D146" s="47"/>
      <c r="E146" s="47"/>
      <c r="F146" s="52"/>
    </row>
    <row r="147" spans="1:6" x14ac:dyDescent="0.2">
      <c r="A147" s="56"/>
      <c r="B147" s="45"/>
      <c r="C147" s="46"/>
      <c r="D147" s="47"/>
      <c r="E147" s="47"/>
      <c r="F147" s="52"/>
    </row>
    <row r="148" spans="1:6" x14ac:dyDescent="0.2">
      <c r="A148" s="56"/>
      <c r="B148" s="45"/>
      <c r="C148" s="46"/>
      <c r="D148" s="47"/>
      <c r="E148" s="47"/>
      <c r="F148" s="52"/>
    </row>
    <row r="149" spans="1:6" x14ac:dyDescent="0.2">
      <c r="A149" s="56"/>
      <c r="B149" s="56"/>
      <c r="C149" s="49"/>
      <c r="D149" s="47"/>
      <c r="E149" s="47"/>
      <c r="F149" s="53"/>
    </row>
    <row r="150" spans="1:6" x14ac:dyDescent="0.2">
      <c r="A150" s="56"/>
      <c r="B150" s="45"/>
      <c r="C150" s="46"/>
      <c r="D150" s="47"/>
      <c r="E150" s="47"/>
      <c r="F150" s="52"/>
    </row>
    <row r="151" spans="1:6" x14ac:dyDescent="0.2">
      <c r="A151" s="56"/>
      <c r="B151" s="45"/>
      <c r="C151" s="46"/>
      <c r="D151" s="47"/>
      <c r="E151" s="118"/>
      <c r="F151" s="52"/>
    </row>
    <row r="152" spans="1:6" x14ac:dyDescent="0.2">
      <c r="A152" s="56"/>
      <c r="B152" s="45"/>
      <c r="C152" s="46"/>
      <c r="D152" s="47"/>
      <c r="E152" s="47"/>
      <c r="F152" s="54"/>
    </row>
    <row r="153" spans="1:6" x14ac:dyDescent="0.2">
      <c r="A153" s="56"/>
      <c r="B153" s="45"/>
      <c r="C153" s="46"/>
      <c r="D153" s="47"/>
      <c r="E153" s="47"/>
      <c r="F153" s="54"/>
    </row>
    <row r="154" spans="1:6" x14ac:dyDescent="0.2">
      <c r="A154" s="56"/>
      <c r="B154" s="45"/>
      <c r="C154" s="46"/>
      <c r="D154" s="47"/>
      <c r="E154" s="47"/>
      <c r="F154" s="52"/>
    </row>
    <row r="155" spans="1:6" x14ac:dyDescent="0.2">
      <c r="A155" s="56"/>
      <c r="B155" s="45"/>
      <c r="C155" s="46"/>
      <c r="D155" s="47"/>
      <c r="E155" s="47"/>
      <c r="F155" s="52"/>
    </row>
    <row r="156" spans="1:6" x14ac:dyDescent="0.2">
      <c r="A156" s="56"/>
      <c r="B156" s="45"/>
      <c r="C156" s="46"/>
      <c r="D156" s="47"/>
      <c r="E156" s="47"/>
      <c r="F156" s="52"/>
    </row>
    <row r="157" spans="1:6" x14ac:dyDescent="0.2">
      <c r="A157" s="56"/>
      <c r="B157" s="45"/>
      <c r="C157" s="46"/>
      <c r="D157" s="47"/>
      <c r="E157" s="47"/>
      <c r="F157" s="52"/>
    </row>
    <row r="158" spans="1:6" x14ac:dyDescent="0.2">
      <c r="A158" s="56"/>
      <c r="B158" s="45"/>
      <c r="C158" s="46"/>
      <c r="D158" s="47"/>
      <c r="E158" s="47"/>
      <c r="F158" s="52"/>
    </row>
    <row r="159" spans="1:6" x14ac:dyDescent="0.2">
      <c r="A159" s="56"/>
      <c r="B159" s="45"/>
      <c r="C159" s="46"/>
      <c r="D159" s="47"/>
      <c r="E159" s="47"/>
      <c r="F159" s="52"/>
    </row>
    <row r="160" spans="1:6" x14ac:dyDescent="0.2">
      <c r="A160" s="56"/>
      <c r="B160" s="56"/>
      <c r="C160" s="46"/>
      <c r="D160" s="47"/>
      <c r="E160" s="47"/>
      <c r="F160" s="52"/>
    </row>
    <row r="161" spans="1:6" x14ac:dyDescent="0.2">
      <c r="A161" s="56"/>
      <c r="B161" s="56"/>
      <c r="C161" s="49"/>
      <c r="D161" s="47"/>
      <c r="E161" s="47"/>
      <c r="F161" s="53"/>
    </row>
    <row r="162" spans="1:6" x14ac:dyDescent="0.2">
      <c r="A162" s="56"/>
      <c r="B162" s="45"/>
      <c r="C162" s="46"/>
      <c r="D162" s="47"/>
      <c r="E162" s="47"/>
      <c r="F162" s="52"/>
    </row>
    <row r="163" spans="1:6" x14ac:dyDescent="0.2">
      <c r="A163" s="56"/>
      <c r="B163" s="45"/>
      <c r="C163" s="46"/>
      <c r="D163" s="47"/>
      <c r="E163" s="118"/>
      <c r="F163" s="52"/>
    </row>
    <row r="164" spans="1:6" x14ac:dyDescent="0.2">
      <c r="A164" s="56"/>
      <c r="B164" s="45"/>
      <c r="C164" s="46"/>
      <c r="D164" s="47"/>
      <c r="E164" s="47"/>
      <c r="F164" s="54"/>
    </row>
    <row r="165" spans="1:6" x14ac:dyDescent="0.2">
      <c r="A165" s="56"/>
      <c r="B165" s="45"/>
      <c r="C165" s="46"/>
      <c r="D165" s="47"/>
      <c r="E165" s="47"/>
      <c r="F165" s="54"/>
    </row>
    <row r="166" spans="1:6" x14ac:dyDescent="0.2">
      <c r="A166" s="56"/>
      <c r="B166" s="45"/>
      <c r="C166" s="46"/>
      <c r="D166" s="47"/>
      <c r="E166" s="47"/>
      <c r="F166" s="52"/>
    </row>
    <row r="167" spans="1:6" x14ac:dyDescent="0.2">
      <c r="A167" s="56"/>
      <c r="B167" s="45"/>
      <c r="C167" s="46"/>
      <c r="D167" s="47"/>
      <c r="E167" s="47"/>
      <c r="F167" s="52"/>
    </row>
    <row r="168" spans="1:6" x14ac:dyDescent="0.2">
      <c r="A168" s="56"/>
      <c r="B168" s="45"/>
      <c r="C168" s="46"/>
      <c r="D168" s="47"/>
      <c r="E168" s="47"/>
      <c r="F168" s="52"/>
    </row>
    <row r="169" spans="1:6" x14ac:dyDescent="0.2">
      <c r="A169" s="56"/>
      <c r="B169" s="45"/>
      <c r="C169" s="46"/>
      <c r="D169" s="47"/>
      <c r="E169" s="47"/>
      <c r="F169" s="52"/>
    </row>
    <row r="170" spans="1:6" x14ac:dyDescent="0.2">
      <c r="A170" s="56"/>
      <c r="B170" s="56"/>
      <c r="C170" s="46"/>
      <c r="D170" s="47"/>
      <c r="E170" s="47"/>
      <c r="F170" s="52"/>
    </row>
    <row r="171" spans="1:6" x14ac:dyDescent="0.2">
      <c r="A171" s="56"/>
      <c r="B171" s="56"/>
      <c r="C171" s="49"/>
      <c r="D171" s="47"/>
      <c r="E171" s="47"/>
      <c r="F171" s="53"/>
    </row>
    <row r="172" spans="1:6" x14ac:dyDescent="0.2">
      <c r="A172" s="56"/>
      <c r="B172" s="45"/>
      <c r="C172" s="46"/>
      <c r="D172" s="47"/>
      <c r="E172" s="47"/>
      <c r="F172" s="52"/>
    </row>
    <row r="173" spans="1:6" x14ac:dyDescent="0.2">
      <c r="A173" s="56"/>
      <c r="B173" s="45"/>
      <c r="C173" s="46"/>
      <c r="D173" s="47"/>
      <c r="E173" s="118"/>
      <c r="F173" s="52"/>
    </row>
    <row r="174" spans="1:6" x14ac:dyDescent="0.2">
      <c r="A174" s="56"/>
      <c r="B174" s="45"/>
      <c r="C174" s="46"/>
      <c r="D174" s="47"/>
      <c r="E174" s="47"/>
      <c r="F174" s="54"/>
    </row>
    <row r="175" spans="1:6" x14ac:dyDescent="0.2">
      <c r="A175" s="56"/>
      <c r="B175" s="45"/>
      <c r="C175" s="46"/>
      <c r="D175" s="47"/>
      <c r="E175" s="47"/>
      <c r="F175" s="54"/>
    </row>
    <row r="176" spans="1:6" x14ac:dyDescent="0.2">
      <c r="A176" s="56"/>
      <c r="B176" s="45"/>
      <c r="C176" s="46"/>
      <c r="D176" s="47"/>
      <c r="E176" s="47"/>
      <c r="F176" s="52"/>
    </row>
    <row r="177" spans="1:6" x14ac:dyDescent="0.2">
      <c r="A177" s="56"/>
      <c r="B177" s="45"/>
      <c r="C177" s="46"/>
      <c r="D177" s="47"/>
      <c r="E177" s="47"/>
      <c r="F177" s="52"/>
    </row>
    <row r="178" spans="1:6" x14ac:dyDescent="0.2">
      <c r="A178" s="56"/>
      <c r="B178" s="45"/>
      <c r="C178" s="46"/>
      <c r="D178" s="47"/>
      <c r="E178" s="47"/>
      <c r="F178" s="52"/>
    </row>
    <row r="179" spans="1:6" x14ac:dyDescent="0.2">
      <c r="A179" s="56"/>
      <c r="B179" s="45"/>
      <c r="C179" s="46"/>
      <c r="D179" s="47"/>
      <c r="E179" s="47"/>
      <c r="F179" s="52"/>
    </row>
    <row r="180" spans="1:6" x14ac:dyDescent="0.2">
      <c r="A180" s="56"/>
      <c r="B180" s="56"/>
      <c r="C180" s="49"/>
      <c r="D180" s="47"/>
      <c r="E180" s="47"/>
      <c r="F180" s="52"/>
    </row>
    <row r="181" spans="1:6" x14ac:dyDescent="0.2">
      <c r="A181" s="56"/>
      <c r="B181" s="56"/>
      <c r="C181" s="49"/>
      <c r="D181" s="47"/>
      <c r="E181" s="47"/>
      <c r="F181" s="53"/>
    </row>
    <row r="182" spans="1:6" x14ac:dyDescent="0.2">
      <c r="A182" s="56"/>
      <c r="B182" s="45"/>
      <c r="C182" s="46"/>
      <c r="D182" s="47"/>
      <c r="E182" s="47"/>
      <c r="F182" s="52"/>
    </row>
    <row r="183" spans="1:6" x14ac:dyDescent="0.2">
      <c r="A183" s="56"/>
      <c r="B183" s="45"/>
      <c r="C183" s="46"/>
      <c r="D183" s="47"/>
      <c r="E183" s="118"/>
      <c r="F183" s="52"/>
    </row>
    <row r="184" spans="1:6" x14ac:dyDescent="0.2">
      <c r="A184" s="56"/>
      <c r="B184" s="45"/>
      <c r="C184" s="46"/>
      <c r="D184" s="47"/>
      <c r="E184" s="47"/>
      <c r="F184" s="54"/>
    </row>
    <row r="185" spans="1:6" x14ac:dyDescent="0.2">
      <c r="A185" s="56"/>
      <c r="B185" s="45"/>
      <c r="C185" s="46"/>
      <c r="D185" s="47"/>
      <c r="E185" s="47"/>
      <c r="F185" s="54"/>
    </row>
    <row r="186" spans="1:6" x14ac:dyDescent="0.2">
      <c r="A186" s="56"/>
      <c r="B186" s="45"/>
      <c r="C186" s="46"/>
      <c r="D186" s="47"/>
      <c r="E186" s="47"/>
      <c r="F186" s="52"/>
    </row>
    <row r="187" spans="1:6" x14ac:dyDescent="0.2">
      <c r="A187" s="56"/>
      <c r="B187" s="45"/>
      <c r="C187" s="46"/>
      <c r="D187" s="47"/>
      <c r="E187" s="47"/>
      <c r="F187" s="52"/>
    </row>
    <row r="188" spans="1:6" x14ac:dyDescent="0.2">
      <c r="A188" s="56"/>
      <c r="B188" s="45"/>
      <c r="C188" s="46"/>
      <c r="D188" s="47"/>
      <c r="E188" s="47"/>
      <c r="F188" s="52"/>
    </row>
    <row r="189" spans="1:6" x14ac:dyDescent="0.2">
      <c r="A189" s="56"/>
      <c r="B189" s="45"/>
      <c r="C189" s="46"/>
      <c r="D189" s="47"/>
      <c r="E189" s="47"/>
      <c r="F189" s="52"/>
    </row>
    <row r="190" spans="1:6" x14ac:dyDescent="0.2">
      <c r="A190" s="56"/>
      <c r="B190" s="45"/>
      <c r="C190" s="46"/>
      <c r="D190" s="47"/>
      <c r="E190" s="47"/>
      <c r="F190" s="52"/>
    </row>
    <row r="191" spans="1:6" x14ac:dyDescent="0.2">
      <c r="A191" s="56"/>
      <c r="B191" s="45"/>
      <c r="C191" s="46"/>
      <c r="D191" s="47"/>
      <c r="E191" s="47"/>
      <c r="F191" s="52"/>
    </row>
    <row r="192" spans="1:6" x14ac:dyDescent="0.2">
      <c r="A192" s="56"/>
      <c r="B192" s="45"/>
      <c r="C192" s="46"/>
      <c r="D192" s="47"/>
      <c r="E192" s="47"/>
      <c r="F192" s="52"/>
    </row>
    <row r="193" spans="1:6" x14ac:dyDescent="0.2">
      <c r="A193" s="56"/>
      <c r="B193" s="45"/>
      <c r="C193" s="46"/>
      <c r="D193" s="47"/>
      <c r="E193" s="47"/>
      <c r="F193" s="52"/>
    </row>
    <row r="194" spans="1:6" x14ac:dyDescent="0.2">
      <c r="A194" s="56"/>
      <c r="B194" s="56"/>
      <c r="C194" s="46"/>
      <c r="D194" s="47"/>
      <c r="E194" s="47"/>
      <c r="F194" s="58"/>
    </row>
    <row r="195" spans="1:6" x14ac:dyDescent="0.2">
      <c r="A195" s="56"/>
      <c r="B195" s="56"/>
      <c r="C195" s="49"/>
      <c r="D195" s="47"/>
      <c r="E195" s="47"/>
      <c r="F195" s="53"/>
    </row>
    <row r="196" spans="1:6" x14ac:dyDescent="0.2">
      <c r="A196" s="56"/>
      <c r="B196" s="45"/>
      <c r="C196" s="46"/>
      <c r="D196" s="47"/>
      <c r="E196" s="47"/>
      <c r="F196" s="52"/>
    </row>
    <row r="197" spans="1:6" x14ac:dyDescent="0.2">
      <c r="A197" s="56"/>
      <c r="B197" s="45"/>
      <c r="C197" s="46"/>
      <c r="D197" s="47"/>
      <c r="E197" s="118"/>
      <c r="F197" s="52"/>
    </row>
    <row r="198" spans="1:6" x14ac:dyDescent="0.2">
      <c r="A198" s="56"/>
      <c r="B198" s="45"/>
      <c r="C198" s="46"/>
      <c r="D198" s="47"/>
      <c r="E198" s="47"/>
      <c r="F198" s="54"/>
    </row>
    <row r="199" spans="1:6" x14ac:dyDescent="0.2">
      <c r="A199" s="56"/>
      <c r="B199" s="45"/>
      <c r="C199" s="46"/>
      <c r="D199" s="47"/>
      <c r="E199" s="47"/>
      <c r="F199" s="54"/>
    </row>
    <row r="200" spans="1:6" x14ac:dyDescent="0.2">
      <c r="A200" s="56"/>
      <c r="B200" s="45"/>
      <c r="C200" s="46"/>
      <c r="D200" s="47"/>
      <c r="E200" s="47"/>
      <c r="F200" s="52"/>
    </row>
    <row r="201" spans="1:6" x14ac:dyDescent="0.2">
      <c r="A201" s="56"/>
      <c r="B201" s="45"/>
      <c r="C201" s="46"/>
      <c r="D201" s="47"/>
      <c r="E201" s="47"/>
      <c r="F201" s="52"/>
    </row>
    <row r="202" spans="1:6" x14ac:dyDescent="0.2">
      <c r="A202" s="56"/>
      <c r="B202" s="45"/>
      <c r="C202" s="46"/>
      <c r="D202" s="47"/>
      <c r="E202" s="47"/>
      <c r="F202" s="52"/>
    </row>
    <row r="203" spans="1:6" ht="54.85" customHeight="1" x14ac:dyDescent="0.2">
      <c r="A203" s="56"/>
      <c r="B203" s="45"/>
      <c r="C203" s="46"/>
      <c r="D203" s="47"/>
      <c r="E203" s="47"/>
      <c r="F203" s="52"/>
    </row>
    <row r="204" spans="1:6" x14ac:dyDescent="0.2">
      <c r="A204" s="56"/>
      <c r="B204" s="45"/>
      <c r="C204" s="46"/>
      <c r="D204" s="47"/>
      <c r="E204" s="47"/>
      <c r="F204" s="52"/>
    </row>
    <row r="205" spans="1:6" x14ac:dyDescent="0.2">
      <c r="A205" s="56"/>
      <c r="B205" s="45"/>
      <c r="C205" s="46"/>
      <c r="D205" s="47"/>
      <c r="E205" s="47"/>
      <c r="F205" s="52"/>
    </row>
    <row r="206" spans="1:6" x14ac:dyDescent="0.2">
      <c r="A206" s="56"/>
      <c r="B206" s="56"/>
      <c r="C206" s="46"/>
      <c r="D206" s="47"/>
      <c r="E206" s="47"/>
      <c r="F206" s="58"/>
    </row>
    <row r="207" spans="1:6" x14ac:dyDescent="0.2">
      <c r="A207" s="56"/>
      <c r="B207" s="56"/>
      <c r="C207" s="46"/>
      <c r="D207" s="47"/>
      <c r="E207" s="47"/>
      <c r="F207" s="58"/>
    </row>
    <row r="208" spans="1:6" ht="28.5" customHeight="1" x14ac:dyDescent="0.2">
      <c r="A208" s="56"/>
      <c r="B208" s="56"/>
      <c r="C208" s="46"/>
      <c r="D208" s="47"/>
      <c r="E208" s="47"/>
      <c r="F208" s="58"/>
    </row>
    <row r="209" spans="1:6" ht="53.2" customHeight="1" x14ac:dyDescent="0.2">
      <c r="A209" s="6"/>
      <c r="B209" s="6"/>
      <c r="C209" s="27"/>
      <c r="D209" s="25"/>
      <c r="E209" s="25"/>
      <c r="F209" s="70"/>
    </row>
    <row r="210" spans="1:6" ht="22.6" customHeight="1" x14ac:dyDescent="0.2">
      <c r="A210" s="6"/>
      <c r="B210" s="6"/>
      <c r="C210" s="27"/>
      <c r="D210" s="25"/>
      <c r="E210" s="25"/>
      <c r="F210" s="58"/>
    </row>
    <row r="211" spans="1:6" x14ac:dyDescent="0.2">
      <c r="A211" s="6"/>
      <c r="B211" s="6"/>
      <c r="C211" s="27"/>
      <c r="D211" s="25"/>
      <c r="E211" s="25"/>
      <c r="F211" s="58"/>
    </row>
    <row r="212" spans="1:6" x14ac:dyDescent="0.2">
      <c r="A212" s="6"/>
      <c r="B212" s="6"/>
      <c r="C212" s="27"/>
      <c r="D212" s="25"/>
      <c r="E212" s="25"/>
      <c r="F212" s="52"/>
    </row>
    <row r="213" spans="1:6" x14ac:dyDescent="0.2">
      <c r="A213" s="6"/>
      <c r="B213" s="23"/>
      <c r="C213" s="27"/>
      <c r="D213" s="25"/>
      <c r="E213" s="25"/>
      <c r="F213" s="52"/>
    </row>
    <row r="214" spans="1:6" x14ac:dyDescent="0.2">
      <c r="A214" s="6"/>
      <c r="B214" s="23"/>
      <c r="C214" s="27"/>
      <c r="D214" s="25"/>
      <c r="E214" s="25"/>
      <c r="F214" s="52"/>
    </row>
    <row r="215" spans="1:6" x14ac:dyDescent="0.2">
      <c r="A215" s="6"/>
      <c r="B215" s="23"/>
      <c r="C215" s="27"/>
      <c r="D215" s="25"/>
      <c r="E215" s="25"/>
      <c r="F215" s="52"/>
    </row>
    <row r="216" spans="1:6" x14ac:dyDescent="0.2">
      <c r="A216" s="6"/>
      <c r="B216" s="23"/>
      <c r="C216" s="27"/>
      <c r="D216" s="25"/>
      <c r="E216" s="25"/>
      <c r="F216" s="52"/>
    </row>
    <row r="217" spans="1:6" x14ac:dyDescent="0.2">
      <c r="A217" s="6"/>
      <c r="B217" s="23"/>
      <c r="C217" s="27"/>
      <c r="D217" s="25"/>
      <c r="E217" s="25"/>
      <c r="F217" s="52"/>
    </row>
    <row r="218" spans="1:6" x14ac:dyDescent="0.2">
      <c r="A218" s="6"/>
      <c r="B218" s="23"/>
      <c r="C218" s="27"/>
      <c r="D218" s="25"/>
      <c r="E218" s="25"/>
      <c r="F218" s="52"/>
    </row>
    <row r="219" spans="1:6" x14ac:dyDescent="0.2">
      <c r="A219" s="6"/>
      <c r="B219" s="23"/>
      <c r="C219" s="27"/>
      <c r="D219" s="25"/>
      <c r="E219" s="25"/>
      <c r="F219" s="52"/>
    </row>
    <row r="220" spans="1:6" x14ac:dyDescent="0.2">
      <c r="A220" s="6"/>
      <c r="B220" s="23"/>
      <c r="C220" s="27"/>
      <c r="D220" s="25"/>
      <c r="E220" s="25"/>
      <c r="F220" s="52"/>
    </row>
    <row r="221" spans="1:6" x14ac:dyDescent="0.2">
      <c r="A221" s="6"/>
      <c r="B221" s="23"/>
      <c r="C221" s="27"/>
      <c r="D221" s="25"/>
      <c r="E221" s="25"/>
      <c r="F221" s="52"/>
    </row>
    <row r="222" spans="1:6" x14ac:dyDescent="0.2">
      <c r="A222" s="6"/>
      <c r="B222" s="23"/>
      <c r="C222" s="27"/>
      <c r="D222" s="25"/>
      <c r="E222" s="25"/>
      <c r="F222" s="52"/>
    </row>
    <row r="223" spans="1:6" x14ac:dyDescent="0.2">
      <c r="A223" s="6"/>
      <c r="B223" s="23"/>
      <c r="C223" s="27"/>
      <c r="D223" s="25"/>
      <c r="E223" s="25"/>
      <c r="F223" s="52"/>
    </row>
    <row r="224" spans="1:6" x14ac:dyDescent="0.2">
      <c r="A224" s="6"/>
      <c r="B224" s="23"/>
      <c r="C224" s="27"/>
      <c r="D224" s="25"/>
      <c r="E224" s="25"/>
      <c r="F224" s="52"/>
    </row>
    <row r="225" spans="1:6" x14ac:dyDescent="0.2">
      <c r="A225" s="6"/>
      <c r="B225" s="23"/>
      <c r="C225" s="27"/>
      <c r="D225" s="25"/>
      <c r="E225" s="25"/>
      <c r="F225" s="52"/>
    </row>
    <row r="226" spans="1:6" x14ac:dyDescent="0.2">
      <c r="A226" s="6"/>
      <c r="B226" s="23"/>
      <c r="C226" s="27"/>
      <c r="D226" s="25"/>
      <c r="E226" s="25"/>
      <c r="F226" s="52"/>
    </row>
    <row r="227" spans="1:6" x14ac:dyDescent="0.2">
      <c r="A227" s="6"/>
      <c r="B227" s="23"/>
      <c r="C227" s="27"/>
      <c r="D227" s="25"/>
      <c r="E227" s="25"/>
      <c r="F227" s="52"/>
    </row>
    <row r="228" spans="1:6" x14ac:dyDescent="0.2">
      <c r="A228" s="6"/>
      <c r="B228" s="23"/>
      <c r="C228" s="27"/>
      <c r="D228" s="25"/>
      <c r="E228" s="25"/>
      <c r="F228" s="52"/>
    </row>
    <row r="229" spans="1:6" x14ac:dyDescent="0.2">
      <c r="A229" s="6"/>
      <c r="B229" s="23"/>
      <c r="C229" s="27"/>
      <c r="D229" s="25"/>
      <c r="E229" s="25"/>
      <c r="F229" s="52"/>
    </row>
    <row r="230" spans="1:6" x14ac:dyDescent="0.2">
      <c r="A230" s="6"/>
      <c r="B230" s="23"/>
      <c r="C230" s="27"/>
      <c r="D230" s="25"/>
      <c r="E230" s="25"/>
      <c r="F230" s="52"/>
    </row>
    <row r="231" spans="1:6" x14ac:dyDescent="0.2">
      <c r="A231" s="6"/>
      <c r="B231" s="23"/>
      <c r="C231" s="27"/>
      <c r="D231" s="25"/>
      <c r="E231" s="25"/>
      <c r="F231" s="52"/>
    </row>
    <row r="232" spans="1:6" x14ac:dyDescent="0.2">
      <c r="A232" s="6"/>
      <c r="B232" s="23"/>
      <c r="C232" s="27"/>
      <c r="D232" s="25"/>
      <c r="E232" s="25"/>
      <c r="F232" s="52"/>
    </row>
    <row r="233" spans="1:6" x14ac:dyDescent="0.2">
      <c r="A233" s="6"/>
      <c r="B233" s="23"/>
      <c r="C233" s="27"/>
      <c r="D233" s="25"/>
      <c r="E233" s="25"/>
      <c r="F233" s="52"/>
    </row>
    <row r="234" spans="1:6" x14ac:dyDescent="0.2">
      <c r="A234" s="6"/>
      <c r="B234" s="23"/>
      <c r="C234" s="27"/>
      <c r="D234" s="25"/>
      <c r="E234" s="25"/>
      <c r="F234" s="52"/>
    </row>
    <row r="235" spans="1:6" x14ac:dyDescent="0.2">
      <c r="A235" s="6"/>
      <c r="B235" s="23"/>
      <c r="C235" s="27"/>
      <c r="D235" s="25"/>
      <c r="E235" s="25"/>
      <c r="F235" s="52"/>
    </row>
    <row r="236" spans="1:6" x14ac:dyDescent="0.2">
      <c r="A236" s="6"/>
      <c r="B236" s="23"/>
      <c r="C236" s="27"/>
      <c r="D236" s="25"/>
      <c r="E236" s="25"/>
      <c r="F236" s="115"/>
    </row>
    <row r="237" spans="1:6" x14ac:dyDescent="0.2">
      <c r="A237" s="6"/>
      <c r="B237" s="23"/>
      <c r="C237" s="27"/>
      <c r="D237" s="25"/>
      <c r="E237" s="25"/>
      <c r="F237" s="115"/>
    </row>
    <row r="238" spans="1:6" x14ac:dyDescent="0.2">
      <c r="A238" s="6"/>
      <c r="B238" s="23"/>
      <c r="C238" s="27"/>
      <c r="D238" s="25"/>
      <c r="E238" s="25"/>
      <c r="F238" s="52"/>
    </row>
    <row r="239" spans="1:6" x14ac:dyDescent="0.2">
      <c r="A239" s="6"/>
      <c r="B239" s="23"/>
      <c r="C239" s="27"/>
      <c r="D239" s="25"/>
      <c r="E239" s="25"/>
      <c r="F239" s="52"/>
    </row>
    <row r="240" spans="1:6" x14ac:dyDescent="0.2">
      <c r="A240" s="6"/>
      <c r="B240" s="23"/>
      <c r="C240" s="27"/>
      <c r="D240" s="25"/>
      <c r="E240" s="25"/>
      <c r="F240" s="52"/>
    </row>
    <row r="241" spans="1:6" x14ac:dyDescent="0.2">
      <c r="A241" s="6"/>
      <c r="B241" s="23"/>
      <c r="C241" s="27"/>
      <c r="D241" s="25"/>
      <c r="E241" s="25"/>
      <c r="F241" s="52"/>
    </row>
    <row r="242" spans="1:6" x14ac:dyDescent="0.2">
      <c r="A242" s="6"/>
      <c r="B242" s="23"/>
      <c r="C242" s="27"/>
      <c r="D242" s="25"/>
      <c r="E242" s="25"/>
      <c r="F242" s="52"/>
    </row>
    <row r="243" spans="1:6" x14ac:dyDescent="0.2">
      <c r="A243" s="6"/>
      <c r="B243" s="23"/>
      <c r="C243" s="27"/>
      <c r="D243" s="25"/>
      <c r="E243" s="25"/>
      <c r="F243" s="52"/>
    </row>
    <row r="244" spans="1:6" x14ac:dyDescent="0.2">
      <c r="A244" s="6"/>
      <c r="B244" s="23"/>
      <c r="C244" s="27"/>
      <c r="D244" s="25"/>
      <c r="E244" s="25"/>
      <c r="F244" s="52"/>
    </row>
    <row r="245" spans="1:6" x14ac:dyDescent="0.2">
      <c r="A245" s="6"/>
      <c r="B245" s="23"/>
      <c r="C245" s="27"/>
      <c r="D245" s="25"/>
      <c r="E245" s="25"/>
      <c r="F245" s="52"/>
    </row>
    <row r="246" spans="1:6" x14ac:dyDescent="0.2">
      <c r="A246" s="6"/>
      <c r="B246" s="23"/>
      <c r="C246" s="27"/>
      <c r="D246" s="25"/>
      <c r="E246" s="25"/>
      <c r="F246" s="52"/>
    </row>
    <row r="247" spans="1:6" x14ac:dyDescent="0.2">
      <c r="A247" s="6"/>
      <c r="B247" s="23"/>
      <c r="C247" s="27"/>
      <c r="D247" s="25"/>
      <c r="E247" s="25"/>
      <c r="F247" s="52"/>
    </row>
    <row r="248" spans="1:6" x14ac:dyDescent="0.2">
      <c r="A248" s="6"/>
      <c r="B248" s="23"/>
      <c r="C248" s="27"/>
      <c r="D248" s="25"/>
      <c r="E248" s="25"/>
      <c r="F248" s="52"/>
    </row>
    <row r="249" spans="1:6" x14ac:dyDescent="0.2">
      <c r="A249" s="6"/>
      <c r="B249" s="23"/>
      <c r="C249" s="27"/>
      <c r="D249" s="25"/>
      <c r="E249" s="25"/>
      <c r="F249" s="52"/>
    </row>
    <row r="250" spans="1:6" x14ac:dyDescent="0.2">
      <c r="A250" s="6"/>
      <c r="B250" s="23"/>
      <c r="C250" s="27"/>
      <c r="D250" s="25"/>
      <c r="E250" s="25"/>
      <c r="F250" s="52"/>
    </row>
    <row r="251" spans="1:6" x14ac:dyDescent="0.2">
      <c r="A251" s="6"/>
      <c r="B251" s="23"/>
      <c r="C251" s="27"/>
      <c r="D251" s="25"/>
      <c r="E251" s="25"/>
      <c r="F251" s="52"/>
    </row>
    <row r="252" spans="1:6" x14ac:dyDescent="0.2">
      <c r="A252" s="6"/>
      <c r="B252" s="23"/>
      <c r="C252" s="27"/>
      <c r="D252" s="25"/>
      <c r="E252" s="25"/>
      <c r="F252" s="52"/>
    </row>
    <row r="253" spans="1:6" x14ac:dyDescent="0.2">
      <c r="A253" s="6"/>
      <c r="B253" s="23"/>
      <c r="C253" s="27"/>
      <c r="D253" s="25"/>
      <c r="E253" s="25"/>
      <c r="F253" s="52"/>
    </row>
    <row r="254" spans="1:6" x14ac:dyDescent="0.2">
      <c r="A254" s="6"/>
      <c r="B254" s="23"/>
      <c r="C254" s="27"/>
      <c r="D254" s="25"/>
      <c r="E254" s="25"/>
      <c r="F254" s="52"/>
    </row>
    <row r="255" spans="1:6" x14ac:dyDescent="0.2">
      <c r="A255" s="6"/>
      <c r="B255" s="23"/>
      <c r="C255" s="27"/>
      <c r="D255" s="25"/>
      <c r="E255" s="25"/>
      <c r="F255" s="52"/>
    </row>
    <row r="256" spans="1:6" x14ac:dyDescent="0.2">
      <c r="A256" s="6"/>
      <c r="B256" s="23"/>
      <c r="C256" s="27"/>
      <c r="D256" s="25"/>
      <c r="E256" s="25"/>
      <c r="F256" s="52"/>
    </row>
    <row r="257" spans="1:6" x14ac:dyDescent="0.2">
      <c r="A257" s="6"/>
      <c r="B257" s="23"/>
      <c r="C257" s="27"/>
      <c r="D257" s="25"/>
      <c r="E257" s="25"/>
      <c r="F257" s="52"/>
    </row>
    <row r="258" spans="1:6" x14ac:dyDescent="0.2">
      <c r="A258" s="6"/>
      <c r="B258" s="23"/>
      <c r="C258" s="27"/>
      <c r="D258" s="25"/>
      <c r="E258" s="25"/>
      <c r="F258" s="52"/>
    </row>
    <row r="259" spans="1:6" x14ac:dyDescent="0.2">
      <c r="A259" s="6"/>
      <c r="B259" s="23"/>
      <c r="C259" s="27"/>
      <c r="D259" s="25"/>
      <c r="E259" s="25"/>
      <c r="F259" s="52"/>
    </row>
    <row r="260" spans="1:6" x14ac:dyDescent="0.2">
      <c r="A260" s="6"/>
      <c r="B260" s="23"/>
      <c r="C260" s="27"/>
      <c r="D260" s="25"/>
      <c r="E260" s="25"/>
      <c r="F260" s="52"/>
    </row>
    <row r="261" spans="1:6" x14ac:dyDescent="0.2">
      <c r="A261" s="6"/>
      <c r="B261" s="23"/>
      <c r="C261" s="27"/>
      <c r="D261" s="25"/>
      <c r="E261" s="25"/>
      <c r="F261" s="52"/>
    </row>
    <row r="262" spans="1:6" x14ac:dyDescent="0.2">
      <c r="A262" s="6"/>
      <c r="B262" s="23"/>
      <c r="C262" s="27"/>
      <c r="D262" s="25"/>
      <c r="E262" s="25"/>
      <c r="F262" s="52"/>
    </row>
    <row r="263" spans="1:6" x14ac:dyDescent="0.2">
      <c r="A263" s="6"/>
      <c r="B263" s="23"/>
      <c r="C263" s="27"/>
      <c r="D263" s="25"/>
      <c r="E263" s="25"/>
      <c r="F263" s="52"/>
    </row>
    <row r="264" spans="1:6" x14ac:dyDescent="0.2">
      <c r="A264" s="6"/>
      <c r="B264" s="23"/>
      <c r="C264" s="27"/>
      <c r="D264" s="25"/>
      <c r="E264" s="25"/>
      <c r="F264" s="52"/>
    </row>
    <row r="265" spans="1:6" x14ac:dyDescent="0.2">
      <c r="A265" s="6"/>
      <c r="B265" s="23"/>
      <c r="C265" s="27"/>
      <c r="D265" s="25"/>
      <c r="E265" s="25"/>
      <c r="F265" s="52"/>
    </row>
    <row r="266" spans="1:6" x14ac:dyDescent="0.2">
      <c r="A266" s="6"/>
      <c r="B266" s="23"/>
      <c r="C266" s="27"/>
      <c r="D266" s="25"/>
      <c r="E266" s="25"/>
      <c r="F266" s="52"/>
    </row>
    <row r="267" spans="1:6" x14ac:dyDescent="0.2">
      <c r="A267" s="6"/>
      <c r="B267" s="23"/>
      <c r="C267" s="27"/>
      <c r="D267" s="25"/>
      <c r="E267" s="25"/>
      <c r="F267" s="52"/>
    </row>
    <row r="268" spans="1:6" x14ac:dyDescent="0.2">
      <c r="A268" s="6"/>
      <c r="B268" s="23"/>
      <c r="C268" s="27"/>
      <c r="D268" s="25"/>
      <c r="E268" s="25"/>
      <c r="F268" s="52"/>
    </row>
    <row r="269" spans="1:6" x14ac:dyDescent="0.2">
      <c r="A269" s="6"/>
      <c r="B269" s="23"/>
      <c r="C269" s="27"/>
      <c r="D269" s="25"/>
      <c r="E269" s="25"/>
      <c r="F269" s="52"/>
    </row>
    <row r="270" spans="1:6" x14ac:dyDescent="0.2">
      <c r="A270" s="6"/>
      <c r="B270" s="23"/>
      <c r="C270" s="27"/>
      <c r="D270" s="25"/>
      <c r="E270" s="25"/>
      <c r="F270" s="52"/>
    </row>
    <row r="271" spans="1:6" x14ac:dyDescent="0.2">
      <c r="A271" s="6"/>
      <c r="B271" s="23"/>
      <c r="C271" s="27"/>
      <c r="D271" s="25"/>
      <c r="E271" s="25"/>
      <c r="F271" s="52"/>
    </row>
    <row r="272" spans="1:6" x14ac:dyDescent="0.2">
      <c r="A272" s="6"/>
      <c r="B272" s="23"/>
      <c r="C272" s="27"/>
      <c r="D272" s="25"/>
      <c r="E272" s="25"/>
      <c r="F272" s="52"/>
    </row>
    <row r="273" spans="1:6" x14ac:dyDescent="0.2">
      <c r="A273" s="6"/>
      <c r="B273" s="23"/>
      <c r="C273" s="27"/>
      <c r="D273" s="25"/>
      <c r="E273" s="25"/>
      <c r="F273" s="52"/>
    </row>
    <row r="274" spans="1:6" x14ac:dyDescent="0.2">
      <c r="A274" s="6"/>
      <c r="B274" s="23"/>
      <c r="C274" s="27"/>
      <c r="D274" s="25"/>
      <c r="E274" s="25"/>
      <c r="F274" s="52"/>
    </row>
    <row r="275" spans="1:6" x14ac:dyDescent="0.2">
      <c r="A275" s="6"/>
      <c r="B275" s="23"/>
      <c r="C275" s="27"/>
      <c r="D275" s="25"/>
      <c r="E275" s="25"/>
      <c r="F275" s="52"/>
    </row>
    <row r="276" spans="1:6" x14ac:dyDescent="0.2">
      <c r="A276" s="6"/>
      <c r="B276" s="23"/>
      <c r="C276" s="27"/>
      <c r="D276" s="25"/>
      <c r="E276" s="25"/>
      <c r="F276" s="52"/>
    </row>
    <row r="277" spans="1:6" x14ac:dyDescent="0.2">
      <c r="A277" s="6"/>
      <c r="B277" s="23"/>
      <c r="C277" s="27"/>
      <c r="D277" s="25"/>
      <c r="E277" s="25"/>
      <c r="F277" s="52"/>
    </row>
    <row r="278" spans="1:6" x14ac:dyDescent="0.2">
      <c r="A278" s="6"/>
      <c r="B278" s="23"/>
      <c r="C278" s="27"/>
      <c r="D278" s="25"/>
      <c r="E278" s="25"/>
      <c r="F278" s="52"/>
    </row>
    <row r="279" spans="1:6" x14ac:dyDescent="0.2">
      <c r="A279" s="6"/>
      <c r="B279" s="23"/>
      <c r="C279" s="27"/>
      <c r="D279" s="25"/>
      <c r="E279" s="25"/>
      <c r="F279" s="52"/>
    </row>
    <row r="280" spans="1:6" x14ac:dyDescent="0.2">
      <c r="A280" s="6"/>
      <c r="B280" s="23"/>
      <c r="C280" s="27"/>
      <c r="D280" s="25"/>
      <c r="E280" s="25"/>
      <c r="F280" s="52"/>
    </row>
    <row r="281" spans="1:6" x14ac:dyDescent="0.2">
      <c r="A281" s="6"/>
      <c r="B281" s="23"/>
      <c r="C281" s="27"/>
      <c r="D281" s="25"/>
      <c r="E281" s="25"/>
      <c r="F281" s="52"/>
    </row>
    <row r="282" spans="1:6" x14ac:dyDescent="0.2">
      <c r="A282" s="6"/>
      <c r="B282" s="23"/>
      <c r="C282" s="27"/>
      <c r="D282" s="25"/>
      <c r="E282" s="25"/>
      <c r="F282" s="52"/>
    </row>
    <row r="283" spans="1:6" x14ac:dyDescent="0.2">
      <c r="A283" s="6"/>
      <c r="B283" s="23"/>
      <c r="C283" s="27"/>
      <c r="D283" s="25"/>
      <c r="E283" s="25"/>
      <c r="F283" s="52"/>
    </row>
    <row r="284" spans="1:6" x14ac:dyDescent="0.2">
      <c r="A284" s="6"/>
      <c r="B284" s="23"/>
      <c r="C284" s="27"/>
      <c r="D284" s="25"/>
      <c r="E284" s="25"/>
      <c r="F284" s="52"/>
    </row>
    <row r="285" spans="1:6" x14ac:dyDescent="0.2">
      <c r="A285" s="6"/>
      <c r="B285" s="23"/>
      <c r="C285" s="27"/>
      <c r="D285" s="25"/>
      <c r="E285" s="25"/>
      <c r="F285" s="52"/>
    </row>
    <row r="286" spans="1:6" x14ac:dyDescent="0.2">
      <c r="A286" s="6"/>
      <c r="B286" s="23"/>
      <c r="C286" s="27"/>
      <c r="D286" s="25"/>
      <c r="E286" s="25"/>
      <c r="F286" s="52"/>
    </row>
    <row r="287" spans="1:6" x14ac:dyDescent="0.2">
      <c r="A287" s="6"/>
      <c r="B287" s="23"/>
      <c r="C287" s="27"/>
      <c r="D287" s="25"/>
      <c r="E287" s="25"/>
      <c r="F287" s="52"/>
    </row>
    <row r="288" spans="1:6" x14ac:dyDescent="0.2">
      <c r="A288" s="6"/>
      <c r="B288" s="23"/>
      <c r="C288" s="27"/>
      <c r="D288" s="25"/>
      <c r="E288" s="25"/>
      <c r="F288" s="52"/>
    </row>
    <row r="289" spans="1:6" x14ac:dyDescent="0.2">
      <c r="A289" s="6"/>
      <c r="B289" s="23"/>
      <c r="C289" s="27"/>
      <c r="D289" s="25"/>
      <c r="E289" s="25"/>
      <c r="F289" s="52"/>
    </row>
    <row r="290" spans="1:6" x14ac:dyDescent="0.2">
      <c r="A290" s="6"/>
      <c r="B290" s="23"/>
      <c r="C290" s="27"/>
      <c r="D290" s="25"/>
      <c r="E290" s="25"/>
      <c r="F290" s="52"/>
    </row>
    <row r="291" spans="1:6" x14ac:dyDescent="0.2">
      <c r="A291" s="6"/>
      <c r="B291" s="23"/>
      <c r="C291" s="27"/>
      <c r="D291" s="25"/>
      <c r="E291" s="25"/>
      <c r="F291" s="52"/>
    </row>
    <row r="292" spans="1:6" x14ac:dyDescent="0.2">
      <c r="A292" s="6"/>
      <c r="B292" s="23"/>
      <c r="C292" s="27"/>
      <c r="D292" s="25"/>
      <c r="E292" s="25"/>
      <c r="F292" s="52"/>
    </row>
    <row r="293" spans="1:6" x14ac:dyDescent="0.2">
      <c r="A293" s="6"/>
      <c r="B293" s="23"/>
      <c r="C293" s="27"/>
      <c r="D293" s="25"/>
      <c r="E293" s="25"/>
      <c r="F293" s="52"/>
    </row>
    <row r="294" spans="1:6" x14ac:dyDescent="0.2">
      <c r="A294" s="6"/>
      <c r="B294" s="23"/>
      <c r="C294" s="27"/>
      <c r="D294" s="25"/>
      <c r="E294" s="25"/>
      <c r="F294" s="52"/>
    </row>
    <row r="295" spans="1:6" x14ac:dyDescent="0.2">
      <c r="A295" s="6"/>
      <c r="B295" s="23"/>
      <c r="C295" s="27"/>
      <c r="D295" s="25"/>
      <c r="E295" s="25"/>
      <c r="F295" s="52"/>
    </row>
    <row r="296" spans="1:6" x14ac:dyDescent="0.2">
      <c r="A296" s="6"/>
      <c r="B296" s="23"/>
      <c r="C296" s="27"/>
      <c r="D296" s="25"/>
      <c r="E296" s="25"/>
      <c r="F296" s="52"/>
    </row>
    <row r="297" spans="1:6" x14ac:dyDescent="0.2">
      <c r="A297" s="6"/>
      <c r="B297" s="23"/>
      <c r="C297" s="27"/>
      <c r="D297" s="25"/>
      <c r="E297" s="25"/>
      <c r="F297" s="52"/>
    </row>
    <row r="298" spans="1:6" x14ac:dyDescent="0.2">
      <c r="A298" s="6"/>
      <c r="B298" s="23"/>
      <c r="C298" s="27"/>
      <c r="D298" s="25"/>
      <c r="E298" s="25"/>
      <c r="F298" s="52"/>
    </row>
    <row r="299" spans="1:6" x14ac:dyDescent="0.2">
      <c r="A299" s="6"/>
      <c r="B299" s="23"/>
      <c r="C299" s="27"/>
      <c r="D299" s="25"/>
      <c r="E299" s="25"/>
      <c r="F299" s="52"/>
    </row>
    <row r="300" spans="1:6" x14ac:dyDescent="0.2">
      <c r="A300" s="6"/>
      <c r="B300" s="23"/>
      <c r="C300" s="27"/>
      <c r="D300" s="25"/>
      <c r="E300" s="25"/>
      <c r="F300" s="52"/>
    </row>
    <row r="301" spans="1:6" x14ac:dyDescent="0.2">
      <c r="A301" s="6"/>
      <c r="B301" s="23"/>
      <c r="C301" s="27"/>
      <c r="D301" s="25"/>
      <c r="E301" s="25"/>
      <c r="F301" s="52"/>
    </row>
    <row r="302" spans="1:6" x14ac:dyDescent="0.2">
      <c r="A302" s="6"/>
      <c r="B302" s="23"/>
      <c r="C302" s="27"/>
      <c r="D302" s="25"/>
      <c r="E302" s="25"/>
      <c r="F302" s="52"/>
    </row>
    <row r="303" spans="1:6" x14ac:dyDescent="0.2">
      <c r="A303" s="6"/>
      <c r="B303" s="23"/>
      <c r="C303" s="27"/>
      <c r="D303" s="25"/>
      <c r="E303" s="25"/>
      <c r="F303" s="52"/>
    </row>
  </sheetData>
  <mergeCells count="1">
    <mergeCell ref="F236:F237"/>
  </mergeCells>
  <phoneticPr fontId="0" type="noConversion"/>
  <pageMargins left="0.7" right="0.7" top="0.75" bottom="0.75" header="0.3" footer="0.3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03"/>
  <sheetViews>
    <sheetView showZeros="0" workbookViewId="0">
      <selection activeCell="C8" sqref="C8"/>
    </sheetView>
  </sheetViews>
  <sheetFormatPr defaultColWidth="9.125" defaultRowHeight="14.4" x14ac:dyDescent="0.2"/>
  <cols>
    <col min="1" max="1" width="8.125" style="3" customWidth="1"/>
    <col min="2" max="2" width="6.125" style="3" customWidth="1"/>
    <col min="3" max="3" width="59.75" style="3" customWidth="1"/>
    <col min="4" max="4" width="12.75" style="3" customWidth="1"/>
    <col min="5" max="5" width="15.25" style="3" customWidth="1"/>
    <col min="6" max="16384" width="9.125" style="3"/>
  </cols>
  <sheetData>
    <row r="1" spans="2:5" ht="33.75" customHeight="1" thickBot="1" x14ac:dyDescent="0.25">
      <c r="B1" s="11" t="s">
        <v>26</v>
      </c>
      <c r="C1" s="11" t="s">
        <v>27</v>
      </c>
      <c r="D1" s="11" t="s">
        <v>28</v>
      </c>
      <c r="E1" s="11" t="s">
        <v>10</v>
      </c>
    </row>
    <row r="2" spans="2:5" ht="22.6" customHeight="1" x14ac:dyDescent="0.2">
      <c r="B2" s="59"/>
      <c r="C2" s="28" t="s">
        <v>104</v>
      </c>
      <c r="D2" s="60"/>
      <c r="E2" s="60"/>
    </row>
    <row r="3" spans="2:5" ht="28.8" x14ac:dyDescent="0.2">
      <c r="B3" s="31" t="s">
        <v>11</v>
      </c>
      <c r="C3" s="30" t="s">
        <v>105</v>
      </c>
      <c r="D3" s="29" t="s">
        <v>44</v>
      </c>
      <c r="E3" s="29">
        <v>17.82</v>
      </c>
    </row>
    <row r="4" spans="2:5" ht="22.6" customHeight="1" x14ac:dyDescent="0.2">
      <c r="B4" s="31"/>
      <c r="C4" s="30"/>
      <c r="D4" s="29"/>
      <c r="E4" s="29"/>
    </row>
    <row r="5" spans="2:5" ht="22.6" customHeight="1" x14ac:dyDescent="0.2">
      <c r="B5" s="31"/>
      <c r="C5" s="28" t="s">
        <v>103</v>
      </c>
      <c r="D5" s="29"/>
      <c r="E5" s="29"/>
    </row>
    <row r="6" spans="2:5" ht="43.2" x14ac:dyDescent="0.2">
      <c r="B6" s="31" t="s">
        <v>41</v>
      </c>
      <c r="C6" s="30" t="s">
        <v>60</v>
      </c>
      <c r="D6" s="29" t="s">
        <v>44</v>
      </c>
      <c r="E6" s="29">
        <f>E9*0.97</f>
        <v>6174.05</v>
      </c>
    </row>
    <row r="7" spans="2:5" ht="43.2" x14ac:dyDescent="0.2">
      <c r="B7" s="31" t="s">
        <v>12</v>
      </c>
      <c r="C7" s="30" t="s">
        <v>65</v>
      </c>
      <c r="D7" s="29" t="s">
        <v>44</v>
      </c>
      <c r="E7" s="29">
        <f>E9*0.03</f>
        <v>190.95</v>
      </c>
    </row>
    <row r="8" spans="2:5" ht="43.2" x14ac:dyDescent="0.2">
      <c r="B8" s="31" t="s">
        <v>13</v>
      </c>
      <c r="C8" s="30" t="s">
        <v>42</v>
      </c>
      <c r="D8" s="29" t="s">
        <v>55</v>
      </c>
      <c r="E8" s="29">
        <f>E9*1.75</f>
        <v>11138.75</v>
      </c>
    </row>
    <row r="9" spans="2:5" ht="22.6" customHeight="1" x14ac:dyDescent="0.2">
      <c r="B9" s="31" t="s">
        <v>45</v>
      </c>
      <c r="C9" s="30" t="s">
        <v>43</v>
      </c>
      <c r="D9" s="29" t="s">
        <v>44</v>
      </c>
      <c r="E9" s="29">
        <v>6365</v>
      </c>
    </row>
    <row r="10" spans="2:5" ht="28.8" x14ac:dyDescent="0.2">
      <c r="B10" s="31"/>
      <c r="C10" s="30" t="s">
        <v>107</v>
      </c>
      <c r="D10" s="29" t="s">
        <v>44</v>
      </c>
      <c r="E10" s="29">
        <f>E9-(E17+E19+E29/1.02)-(E32+E34+E43/1.02)-(E47+E49+E58/1.02)-(E61+E63+E73/1.02)-(E76+E78+E87/1.02)-(E90+E92+E102/1.02)-(E105+E107+E116/1.02)-(E119+E122+E129/1.02)-(E132+E134+E143/1.02)-(E147+E149)-(E156+E158+E165/1.02)-(E168+E170)-(E179+E181)-(E189+E191+E201/1.02)-(E206+E208+E215/1.02)</f>
        <v>5411.5829999999987</v>
      </c>
    </row>
    <row r="11" spans="2:5" ht="43.2" x14ac:dyDescent="0.2">
      <c r="B11" s="31" t="s">
        <v>46</v>
      </c>
      <c r="C11" s="30" t="s">
        <v>64</v>
      </c>
      <c r="D11" s="29" t="s">
        <v>44</v>
      </c>
      <c r="E11" s="29">
        <f>0.9*E10</f>
        <v>4870.4246999999987</v>
      </c>
    </row>
    <row r="12" spans="2:5" ht="28.8" x14ac:dyDescent="0.2">
      <c r="B12" s="31" t="s">
        <v>48</v>
      </c>
      <c r="C12" s="30" t="s">
        <v>47</v>
      </c>
      <c r="D12" s="29" t="s">
        <v>44</v>
      </c>
      <c r="E12" s="29">
        <f>E11</f>
        <v>4870.4246999999987</v>
      </c>
    </row>
    <row r="13" spans="2:5" ht="28.8" x14ac:dyDescent="0.2">
      <c r="B13" s="31" t="s">
        <v>50</v>
      </c>
      <c r="C13" s="30" t="s">
        <v>49</v>
      </c>
      <c r="D13" s="29" t="s">
        <v>44</v>
      </c>
      <c r="E13" s="29">
        <f>0.1*E10</f>
        <v>541.15829999999994</v>
      </c>
    </row>
    <row r="14" spans="2:5" ht="22.6" customHeight="1" x14ac:dyDescent="0.2">
      <c r="B14" s="31"/>
      <c r="C14" s="30"/>
      <c r="D14" s="29"/>
      <c r="E14" s="29"/>
    </row>
    <row r="15" spans="2:5" ht="22.6" customHeight="1" x14ac:dyDescent="0.2">
      <c r="B15" s="31"/>
      <c r="C15" s="28" t="s">
        <v>102</v>
      </c>
      <c r="D15" s="29"/>
      <c r="E15" s="29"/>
    </row>
    <row r="16" spans="2:5" ht="22.6" customHeight="1" x14ac:dyDescent="0.2">
      <c r="B16" s="31"/>
      <c r="C16" s="40" t="s">
        <v>68</v>
      </c>
      <c r="D16" s="29"/>
      <c r="E16" s="29"/>
    </row>
    <row r="17" spans="2:5" ht="22.6" customHeight="1" x14ac:dyDescent="0.2">
      <c r="B17" s="31" t="s">
        <v>51</v>
      </c>
      <c r="C17" s="30" t="s">
        <v>63</v>
      </c>
      <c r="D17" s="29" t="s">
        <v>44</v>
      </c>
      <c r="E17" s="29">
        <f>((4.8+0.2)*((6.6+0.2)*0.1)*8
+N("примечание.: объем бет. подготовки фундамента х кол-во штук"))</f>
        <v>27.200000000000003</v>
      </c>
    </row>
    <row r="18" spans="2:5" ht="28.8" x14ac:dyDescent="0.2">
      <c r="B18" s="31"/>
      <c r="C18" s="30" t="s">
        <v>58</v>
      </c>
      <c r="D18" s="29" t="s">
        <v>44</v>
      </c>
      <c r="E18" s="50" t="str">
        <f>ROUND((E17*1.02),3) &amp; TEXT(E17,"
##0,000") &amp; " х 1,02"</f>
        <v>27,744
27,200 х 1,02</v>
      </c>
    </row>
    <row r="19" spans="2:5" ht="22.6" customHeight="1" x14ac:dyDescent="0.2">
      <c r="B19" s="31" t="s">
        <v>52</v>
      </c>
      <c r="C19" s="30" t="s">
        <v>81</v>
      </c>
      <c r="D19" s="29" t="s">
        <v>44</v>
      </c>
      <c r="E19" s="29">
        <f>21.4*8</f>
        <v>171.2</v>
      </c>
    </row>
    <row r="20" spans="2:5" ht="275.25" customHeight="1" thickBot="1" x14ac:dyDescent="0.25">
      <c r="B20" s="34"/>
      <c r="C20" s="37"/>
      <c r="D20" s="35"/>
      <c r="E20" s="38"/>
    </row>
    <row r="21" spans="2:5" ht="43.2" x14ac:dyDescent="0.2">
      <c r="B21" s="32"/>
      <c r="C21" s="41" t="s">
        <v>66</v>
      </c>
      <c r="D21" s="33" t="s">
        <v>44</v>
      </c>
      <c r="E21" s="33" t="str">
        <f>ROUND((E19*1.015),3) &amp; TEXT(E19,"
##0,000") &amp; " х 1,015"</f>
        <v>173,768
171,200 х 1,015</v>
      </c>
    </row>
    <row r="22" spans="2:5" ht="28.8" x14ac:dyDescent="0.2">
      <c r="B22" s="31"/>
      <c r="C22" s="30" t="s">
        <v>82</v>
      </c>
      <c r="D22" s="29" t="s">
        <v>55</v>
      </c>
      <c r="E22" s="29">
        <f>1254.18*8/1000</f>
        <v>10.033440000000001</v>
      </c>
    </row>
    <row r="23" spans="2:5" ht="28.8" x14ac:dyDescent="0.2">
      <c r="B23" s="31"/>
      <c r="C23" s="30" t="s">
        <v>83</v>
      </c>
      <c r="D23" s="29" t="s">
        <v>55</v>
      </c>
      <c r="E23" s="29">
        <f>407.43*8/1000</f>
        <v>3.2594400000000001</v>
      </c>
    </row>
    <row r="24" spans="2:5" ht="28.8" x14ac:dyDescent="0.2">
      <c r="B24" s="31"/>
      <c r="C24" s="30" t="s">
        <v>84</v>
      </c>
      <c r="D24" s="29" t="s">
        <v>55</v>
      </c>
      <c r="E24" s="29">
        <f>23.34*8/1000</f>
        <v>0.18672</v>
      </c>
    </row>
    <row r="25" spans="2:5" ht="28.8" x14ac:dyDescent="0.2">
      <c r="B25" s="31"/>
      <c r="C25" s="30" t="s">
        <v>86</v>
      </c>
      <c r="D25" s="29" t="s">
        <v>55</v>
      </c>
      <c r="E25" s="29">
        <f>126.88*8/1000</f>
        <v>1.0150399999999999</v>
      </c>
    </row>
    <row r="26" spans="2:5" ht="28.8" x14ac:dyDescent="0.2">
      <c r="B26" s="31"/>
      <c r="C26" s="30" t="s">
        <v>87</v>
      </c>
      <c r="D26" s="29" t="s">
        <v>55</v>
      </c>
      <c r="E26" s="29">
        <f>70.56*8/1000</f>
        <v>0.56447999999999998</v>
      </c>
    </row>
    <row r="27" spans="2:5" ht="28.8" x14ac:dyDescent="0.2">
      <c r="B27" s="31" t="s">
        <v>53</v>
      </c>
      <c r="C27" s="30" t="s">
        <v>90</v>
      </c>
      <c r="D27" s="29" t="s">
        <v>55</v>
      </c>
      <c r="E27" s="29">
        <f>120.32/1000*2*8</f>
        <v>1.9251199999999999</v>
      </c>
    </row>
    <row r="28" spans="2:5" ht="22.6" customHeight="1" x14ac:dyDescent="0.2">
      <c r="B28" s="31" t="s">
        <v>54</v>
      </c>
      <c r="C28" s="30" t="s">
        <v>61</v>
      </c>
      <c r="D28" s="29" t="s">
        <v>62</v>
      </c>
      <c r="E28" s="29">
        <f>E29/1.02/0.1</f>
        <v>16</v>
      </c>
    </row>
    <row r="29" spans="2:5" ht="28.8" x14ac:dyDescent="0.2">
      <c r="B29" s="31"/>
      <c r="C29" s="30" t="s">
        <v>85</v>
      </c>
      <c r="D29" s="29" t="s">
        <v>44</v>
      </c>
      <c r="E29" s="29">
        <f>0.2*1.02*8</f>
        <v>1.6320000000000001</v>
      </c>
    </row>
    <row r="30" spans="2:5" ht="22.6" customHeight="1" x14ac:dyDescent="0.2">
      <c r="B30" s="31"/>
      <c r="C30" s="30"/>
      <c r="D30" s="29"/>
      <c r="E30" s="29"/>
    </row>
    <row r="31" spans="2:5" ht="22.6" customHeight="1" x14ac:dyDescent="0.2">
      <c r="B31" s="31"/>
      <c r="C31" s="40" t="s">
        <v>106</v>
      </c>
      <c r="D31" s="29"/>
      <c r="E31" s="29"/>
    </row>
    <row r="32" spans="2:5" ht="22.6" customHeight="1" x14ac:dyDescent="0.2">
      <c r="B32" s="31" t="s">
        <v>56</v>
      </c>
      <c r="C32" s="30" t="s">
        <v>63</v>
      </c>
      <c r="D32" s="29" t="s">
        <v>44</v>
      </c>
      <c r="E32" s="29">
        <f>((4.5+0.2)*((6+0.2)*0.1)*2
+N("примечание.: объем бет. подготовки фундамента х кол-во штук"))</f>
        <v>5.8280000000000012</v>
      </c>
    </row>
    <row r="33" spans="2:5" ht="28.8" x14ac:dyDescent="0.2">
      <c r="B33" s="31"/>
      <c r="C33" s="30" t="s">
        <v>58</v>
      </c>
      <c r="D33" s="29" t="s">
        <v>44</v>
      </c>
      <c r="E33" s="50" t="str">
        <f>ROUND((E32*1.02),3) &amp; TEXT(E32,"
##0,000") &amp; " х 1,02"</f>
        <v>5,945
5,828 х 1,02</v>
      </c>
    </row>
    <row r="34" spans="2:5" ht="22.6" customHeight="1" x14ac:dyDescent="0.2">
      <c r="B34" s="31" t="s">
        <v>57</v>
      </c>
      <c r="C34" s="30" t="s">
        <v>81</v>
      </c>
      <c r="D34" s="29" t="s">
        <v>44</v>
      </c>
      <c r="E34" s="29">
        <f>18.6*2</f>
        <v>37.200000000000003</v>
      </c>
    </row>
    <row r="35" spans="2:5" ht="28.8" x14ac:dyDescent="0.2">
      <c r="B35" s="31"/>
      <c r="C35" s="30" t="s">
        <v>66</v>
      </c>
      <c r="D35" s="29" t="s">
        <v>44</v>
      </c>
      <c r="E35" s="29" t="str">
        <f>ROUND((E34*1.015),3) &amp; TEXT(E34,"
##0,000") &amp; " х 1,015"</f>
        <v>37,758
37,200 х 1,015</v>
      </c>
    </row>
    <row r="36" spans="2:5" ht="28.8" x14ac:dyDescent="0.2">
      <c r="B36" s="31"/>
      <c r="C36" s="30" t="s">
        <v>84</v>
      </c>
      <c r="D36" s="29" t="s">
        <v>55</v>
      </c>
      <c r="E36" s="29">
        <f>23.34*2/1000</f>
        <v>4.6679999999999999E-2</v>
      </c>
    </row>
    <row r="37" spans="2:5" ht="28.8" x14ac:dyDescent="0.2">
      <c r="B37" s="31"/>
      <c r="C37" s="30" t="s">
        <v>86</v>
      </c>
      <c r="D37" s="29" t="s">
        <v>55</v>
      </c>
      <c r="E37" s="29">
        <f>116*2/1000</f>
        <v>0.23200000000000001</v>
      </c>
    </row>
    <row r="38" spans="2:5" ht="28.8" x14ac:dyDescent="0.2">
      <c r="B38" s="31"/>
      <c r="C38" s="30" t="s">
        <v>87</v>
      </c>
      <c r="D38" s="29" t="s">
        <v>55</v>
      </c>
      <c r="E38" s="29">
        <f>62.72*2/1000</f>
        <v>0.12544</v>
      </c>
    </row>
    <row r="39" spans="2:5" ht="28.8" x14ac:dyDescent="0.2">
      <c r="B39" s="31"/>
      <c r="C39" s="30" t="s">
        <v>83</v>
      </c>
      <c r="D39" s="29" t="s">
        <v>55</v>
      </c>
      <c r="E39" s="29">
        <f>899.2*2/1000</f>
        <v>1.7984</v>
      </c>
    </row>
    <row r="40" spans="2:5" ht="28.8" x14ac:dyDescent="0.2">
      <c r="B40" s="31"/>
      <c r="C40" s="30" t="s">
        <v>88</v>
      </c>
      <c r="D40" s="29" t="s">
        <v>55</v>
      </c>
      <c r="E40" s="29">
        <f>129.6*2/1000</f>
        <v>0.25919999999999999</v>
      </c>
    </row>
    <row r="41" spans="2:5" ht="28.8" x14ac:dyDescent="0.2">
      <c r="B41" s="31" t="s">
        <v>108</v>
      </c>
      <c r="C41" s="30" t="s">
        <v>89</v>
      </c>
      <c r="D41" s="29" t="s">
        <v>55</v>
      </c>
      <c r="E41" s="29">
        <f>120.32/1000*2*2</f>
        <v>0.48127999999999999</v>
      </c>
    </row>
    <row r="42" spans="2:5" ht="22.6" customHeight="1" x14ac:dyDescent="0.2">
      <c r="B42" s="31" t="s">
        <v>109</v>
      </c>
      <c r="C42" s="30" t="s">
        <v>61</v>
      </c>
      <c r="D42" s="29" t="s">
        <v>62</v>
      </c>
      <c r="E42" s="29">
        <f>E43/1.02/0.1</f>
        <v>4</v>
      </c>
    </row>
    <row r="43" spans="2:5" ht="28.8" x14ac:dyDescent="0.2">
      <c r="B43" s="31"/>
      <c r="C43" s="30" t="s">
        <v>85</v>
      </c>
      <c r="D43" s="29" t="s">
        <v>44</v>
      </c>
      <c r="E43" s="29">
        <f>0.2*1.02*2</f>
        <v>0.40800000000000003</v>
      </c>
    </row>
    <row r="44" spans="2:5" ht="22.6" customHeight="1" x14ac:dyDescent="0.2">
      <c r="B44" s="31"/>
      <c r="C44" s="30"/>
      <c r="D44" s="29"/>
      <c r="E44" s="29"/>
    </row>
    <row r="45" spans="2:5" ht="127.5" customHeight="1" thickBot="1" x14ac:dyDescent="0.25">
      <c r="B45" s="34"/>
      <c r="C45" s="37"/>
      <c r="D45" s="35"/>
      <c r="E45" s="38"/>
    </row>
    <row r="46" spans="2:5" ht="22.6" customHeight="1" x14ac:dyDescent="0.2">
      <c r="B46" s="32"/>
      <c r="C46" s="57" t="s">
        <v>70</v>
      </c>
      <c r="D46" s="33"/>
      <c r="E46" s="33"/>
    </row>
    <row r="47" spans="2:5" ht="22.6" customHeight="1" x14ac:dyDescent="0.2">
      <c r="B47" s="31" t="s">
        <v>110</v>
      </c>
      <c r="C47" s="30" t="s">
        <v>63</v>
      </c>
      <c r="D47" s="29" t="s">
        <v>44</v>
      </c>
      <c r="E47" s="29">
        <f>((8.4+0.2)*((6+0.2)*0.1)*1
+N("примечание.: объем бет. подготовки фундамента х кол-во штук"))</f>
        <v>5.3320000000000007</v>
      </c>
    </row>
    <row r="48" spans="2:5" ht="28.8" x14ac:dyDescent="0.2">
      <c r="B48" s="31"/>
      <c r="C48" s="30" t="s">
        <v>58</v>
      </c>
      <c r="D48" s="29" t="s">
        <v>44</v>
      </c>
      <c r="E48" s="50" t="str">
        <f>ROUND((E47*1.02),3) &amp; TEXT(E47,"
##0,000") &amp; " х 1,02"</f>
        <v>5,439
5,332 х 1,02</v>
      </c>
    </row>
    <row r="49" spans="2:5" ht="22.6" customHeight="1" x14ac:dyDescent="0.2">
      <c r="B49" s="31" t="s">
        <v>111</v>
      </c>
      <c r="C49" s="30" t="s">
        <v>81</v>
      </c>
      <c r="D49" s="29" t="s">
        <v>44</v>
      </c>
      <c r="E49" s="29">
        <f>39.2*1</f>
        <v>39.200000000000003</v>
      </c>
    </row>
    <row r="50" spans="2:5" ht="28.8" x14ac:dyDescent="0.2">
      <c r="B50" s="31"/>
      <c r="C50" s="30" t="s">
        <v>66</v>
      </c>
      <c r="D50" s="29" t="s">
        <v>44</v>
      </c>
      <c r="E50" s="29" t="str">
        <f>ROUND((E49*1.015),3) &amp; TEXT(E49,"
##0,000") &amp; " х 1,015"</f>
        <v>39,788
39,200 х 1,015</v>
      </c>
    </row>
    <row r="51" spans="2:5" ht="28.8" x14ac:dyDescent="0.2">
      <c r="B51" s="31"/>
      <c r="C51" s="30" t="s">
        <v>84</v>
      </c>
      <c r="D51" s="29" t="s">
        <v>55</v>
      </c>
      <c r="E51" s="29">
        <f>93.2*1/1000</f>
        <v>9.3200000000000005E-2</v>
      </c>
    </row>
    <row r="52" spans="2:5" ht="28.8" x14ac:dyDescent="0.2">
      <c r="B52" s="31"/>
      <c r="C52" s="30" t="s">
        <v>86</v>
      </c>
      <c r="D52" s="29" t="s">
        <v>55</v>
      </c>
      <c r="E52" s="29">
        <f>203*1/1000</f>
        <v>0.20300000000000001</v>
      </c>
    </row>
    <row r="53" spans="2:5" ht="28.8" x14ac:dyDescent="0.2">
      <c r="B53" s="31"/>
      <c r="C53" s="30" t="s">
        <v>87</v>
      </c>
      <c r="D53" s="29" t="s">
        <v>55</v>
      </c>
      <c r="E53" s="29">
        <f>109.76*1/1000</f>
        <v>0.10976000000000001</v>
      </c>
    </row>
    <row r="54" spans="2:5" ht="28.8" x14ac:dyDescent="0.2">
      <c r="B54" s="31"/>
      <c r="C54" s="30" t="s">
        <v>83</v>
      </c>
      <c r="D54" s="29" t="s">
        <v>55</v>
      </c>
      <c r="E54" s="29">
        <f>1542*1/1000</f>
        <v>1.542</v>
      </c>
    </row>
    <row r="55" spans="2:5" ht="28.8" x14ac:dyDescent="0.2">
      <c r="B55" s="31"/>
      <c r="C55" s="30" t="s">
        <v>88</v>
      </c>
      <c r="D55" s="29" t="s">
        <v>55</v>
      </c>
      <c r="E55" s="29">
        <f>457.76*1/1000</f>
        <v>0.45776</v>
      </c>
    </row>
    <row r="56" spans="2:5" ht="28.8" x14ac:dyDescent="0.2">
      <c r="B56" s="31" t="s">
        <v>112</v>
      </c>
      <c r="C56" s="30" t="s">
        <v>91</v>
      </c>
      <c r="D56" s="29" t="s">
        <v>55</v>
      </c>
      <c r="E56" s="29">
        <f>120.32/1000*6*1</f>
        <v>0.72192000000000001</v>
      </c>
    </row>
    <row r="57" spans="2:5" ht="22.6" customHeight="1" x14ac:dyDescent="0.2">
      <c r="B57" s="31" t="s">
        <v>113</v>
      </c>
      <c r="C57" s="30" t="s">
        <v>61</v>
      </c>
      <c r="D57" s="29" t="s">
        <v>62</v>
      </c>
      <c r="E57" s="29">
        <f>E58/1.02/0.1</f>
        <v>5.9999999999999991</v>
      </c>
    </row>
    <row r="58" spans="2:5" ht="28.8" x14ac:dyDescent="0.2">
      <c r="B58" s="31"/>
      <c r="C58" s="30" t="s">
        <v>85</v>
      </c>
      <c r="D58" s="29" t="s">
        <v>44</v>
      </c>
      <c r="E58" s="29">
        <f>0.6*1.02*1</f>
        <v>0.61199999999999999</v>
      </c>
    </row>
    <row r="59" spans="2:5" ht="22.6" customHeight="1" x14ac:dyDescent="0.2">
      <c r="B59" s="31"/>
      <c r="C59" s="30"/>
      <c r="D59" s="29"/>
      <c r="E59" s="29"/>
    </row>
    <row r="60" spans="2:5" ht="22.6" customHeight="1" x14ac:dyDescent="0.2">
      <c r="B60" s="31"/>
      <c r="C60" s="40" t="s">
        <v>69</v>
      </c>
      <c r="D60" s="29"/>
      <c r="E60" s="29"/>
    </row>
    <row r="61" spans="2:5" ht="22.6" customHeight="1" x14ac:dyDescent="0.2">
      <c r="B61" s="31" t="s">
        <v>114</v>
      </c>
      <c r="C61" s="30" t="s">
        <v>63</v>
      </c>
      <c r="D61" s="29" t="s">
        <v>44</v>
      </c>
      <c r="E61" s="29">
        <f>((6.4+0.2)*((6.4+0.2)*0.1)*5
+N("примечание.: объем бет. подготовки фундамента х кол-во штук"))</f>
        <v>21.780000000000008</v>
      </c>
    </row>
    <row r="62" spans="2:5" ht="28.8" x14ac:dyDescent="0.2">
      <c r="B62" s="31"/>
      <c r="C62" s="30" t="s">
        <v>58</v>
      </c>
      <c r="D62" s="29" t="s">
        <v>44</v>
      </c>
      <c r="E62" s="50" t="str">
        <f>ROUND((E61*1.02),3) &amp; TEXT(E61,"
##0,000") &amp; " х 1,02"</f>
        <v>22,216
21,780 х 1,02</v>
      </c>
    </row>
    <row r="63" spans="2:5" ht="22.6" customHeight="1" x14ac:dyDescent="0.2">
      <c r="B63" s="31" t="s">
        <v>115</v>
      </c>
      <c r="C63" s="30" t="s">
        <v>81</v>
      </c>
      <c r="D63" s="29" t="s">
        <v>44</v>
      </c>
      <c r="E63" s="29">
        <f>29.36*5</f>
        <v>146.80000000000001</v>
      </c>
    </row>
    <row r="64" spans="2:5" ht="43.2" x14ac:dyDescent="0.2">
      <c r="B64" s="31"/>
      <c r="C64" s="30" t="s">
        <v>66</v>
      </c>
      <c r="D64" s="29" t="s">
        <v>44</v>
      </c>
      <c r="E64" s="29" t="str">
        <f>ROUND((E63*1.015),3) &amp; TEXT(E63,"
##0,000") &amp; " х 1,015"</f>
        <v>149,002
146,800 х 1,015</v>
      </c>
    </row>
    <row r="65" spans="2:5" ht="28.8" x14ac:dyDescent="0.2">
      <c r="B65" s="31"/>
      <c r="C65" s="30" t="s">
        <v>84</v>
      </c>
      <c r="D65" s="29" t="s">
        <v>55</v>
      </c>
      <c r="E65" s="29">
        <f>46.68*5/1000</f>
        <v>0.2334</v>
      </c>
    </row>
    <row r="66" spans="2:5" ht="28.8" x14ac:dyDescent="0.2">
      <c r="B66" s="31"/>
      <c r="C66" s="30" t="s">
        <v>86</v>
      </c>
      <c r="D66" s="29" t="s">
        <v>55</v>
      </c>
      <c r="E66" s="29">
        <f>174*5/1000</f>
        <v>0.87</v>
      </c>
    </row>
    <row r="67" spans="2:5" ht="28.8" x14ac:dyDescent="0.2">
      <c r="B67" s="31"/>
      <c r="C67" s="30" t="s">
        <v>87</v>
      </c>
      <c r="D67" s="29" t="s">
        <v>55</v>
      </c>
      <c r="E67" s="29">
        <f>94.08*5/1000</f>
        <v>0.47039999999999998</v>
      </c>
    </row>
    <row r="68" spans="2:5" ht="28.8" x14ac:dyDescent="0.2">
      <c r="B68" s="31"/>
      <c r="C68" s="30" t="s">
        <v>83</v>
      </c>
      <c r="D68" s="29" t="s">
        <v>55</v>
      </c>
      <c r="E68" s="29">
        <f>1280.04*5/1000</f>
        <v>6.4001999999999999</v>
      </c>
    </row>
    <row r="69" spans="2:5" ht="28.8" x14ac:dyDescent="0.2">
      <c r="B69" s="31"/>
      <c r="C69" s="30" t="s">
        <v>88</v>
      </c>
      <c r="D69" s="29" t="s">
        <v>55</v>
      </c>
      <c r="E69" s="29">
        <f>259.2*5/1000</f>
        <v>1.296</v>
      </c>
    </row>
    <row r="70" spans="2:5" ht="133.55000000000001" customHeight="1" thickBot="1" x14ac:dyDescent="0.25">
      <c r="B70" s="34"/>
      <c r="C70" s="37"/>
      <c r="D70" s="35"/>
      <c r="E70" s="38"/>
    </row>
    <row r="71" spans="2:5" ht="28.8" x14ac:dyDescent="0.2">
      <c r="B71" s="32" t="s">
        <v>116</v>
      </c>
      <c r="C71" s="41" t="s">
        <v>92</v>
      </c>
      <c r="D71" s="33" t="s">
        <v>55</v>
      </c>
      <c r="E71" s="33">
        <f>120.32/1000*4*5</f>
        <v>2.4064000000000001</v>
      </c>
    </row>
    <row r="72" spans="2:5" ht="22.6" customHeight="1" x14ac:dyDescent="0.2">
      <c r="B72" s="31" t="s">
        <v>117</v>
      </c>
      <c r="C72" s="30" t="s">
        <v>61</v>
      </c>
      <c r="D72" s="29" t="s">
        <v>62</v>
      </c>
      <c r="E72" s="29">
        <f>E73/1.02/0.1</f>
        <v>20</v>
      </c>
    </row>
    <row r="73" spans="2:5" ht="28.8" x14ac:dyDescent="0.2">
      <c r="B73" s="31"/>
      <c r="C73" s="30" t="s">
        <v>85</v>
      </c>
      <c r="D73" s="29" t="s">
        <v>44</v>
      </c>
      <c r="E73" s="29">
        <f>0.4*1.02*5</f>
        <v>2.04</v>
      </c>
    </row>
    <row r="74" spans="2:5" ht="22.6" customHeight="1" x14ac:dyDescent="0.2">
      <c r="B74" s="31"/>
      <c r="C74" s="30"/>
      <c r="D74" s="29"/>
      <c r="E74" s="29"/>
    </row>
    <row r="75" spans="2:5" ht="22.6" customHeight="1" x14ac:dyDescent="0.2">
      <c r="B75" s="31"/>
      <c r="C75" s="40" t="s">
        <v>71</v>
      </c>
      <c r="D75" s="29"/>
      <c r="E75" s="29"/>
    </row>
    <row r="76" spans="2:5" ht="22.6" customHeight="1" x14ac:dyDescent="0.2">
      <c r="B76" s="31" t="s">
        <v>118</v>
      </c>
      <c r="C76" s="30" t="s">
        <v>63</v>
      </c>
      <c r="D76" s="29" t="s">
        <v>44</v>
      </c>
      <c r="E76" s="29">
        <f>((6.6+0.2)*((4.8+0.2)*0.1)*1
+N("примечание.: объем бет. подготовки фундамента х кол-во штук"))</f>
        <v>3.4</v>
      </c>
    </row>
    <row r="77" spans="2:5" ht="28.8" x14ac:dyDescent="0.2">
      <c r="B77" s="31"/>
      <c r="C77" s="30" t="s">
        <v>58</v>
      </c>
      <c r="D77" s="29" t="s">
        <v>44</v>
      </c>
      <c r="E77" s="50" t="str">
        <f>ROUND((E76*1.02),3) &amp; TEXT(E76,"
##0,000")&amp; " х 1,02"</f>
        <v>3,468
3,400 х 1,02</v>
      </c>
    </row>
    <row r="78" spans="2:5" ht="22.6" customHeight="1" x14ac:dyDescent="0.2">
      <c r="B78" s="31" t="s">
        <v>119</v>
      </c>
      <c r="C78" s="30" t="s">
        <v>81</v>
      </c>
      <c r="D78" s="29" t="s">
        <v>44</v>
      </c>
      <c r="E78" s="29">
        <f>21.4*1</f>
        <v>21.4</v>
      </c>
    </row>
    <row r="79" spans="2:5" ht="28.8" x14ac:dyDescent="0.2">
      <c r="B79" s="31"/>
      <c r="C79" s="30" t="s">
        <v>66</v>
      </c>
      <c r="D79" s="29" t="s">
        <v>44</v>
      </c>
      <c r="E79" s="29" t="str">
        <f>ROUND((E78*1.015),3) &amp; TEXT(E78,"
##0,000") &amp; " х 1,015"</f>
        <v>21,721
21,400 х 1,015</v>
      </c>
    </row>
    <row r="80" spans="2:5" ht="28.8" x14ac:dyDescent="0.2">
      <c r="B80" s="31"/>
      <c r="C80" s="30" t="s">
        <v>84</v>
      </c>
      <c r="D80" s="29" t="s">
        <v>55</v>
      </c>
      <c r="E80" s="29">
        <f>23.34*1/1000</f>
        <v>2.334E-2</v>
      </c>
    </row>
    <row r="81" spans="2:5" ht="28.8" x14ac:dyDescent="0.2">
      <c r="B81" s="31"/>
      <c r="C81" s="30" t="s">
        <v>86</v>
      </c>
      <c r="D81" s="29" t="s">
        <v>55</v>
      </c>
      <c r="E81" s="29">
        <f>126.88*1/1000</f>
        <v>0.12687999999999999</v>
      </c>
    </row>
    <row r="82" spans="2:5" ht="28.8" x14ac:dyDescent="0.2">
      <c r="B82" s="31"/>
      <c r="C82" s="30" t="s">
        <v>87</v>
      </c>
      <c r="D82" s="29" t="s">
        <v>55</v>
      </c>
      <c r="E82" s="29">
        <f>70.56*1/1000</f>
        <v>7.0559999999999998E-2</v>
      </c>
    </row>
    <row r="83" spans="2:5" ht="28.8" x14ac:dyDescent="0.2">
      <c r="B83" s="31"/>
      <c r="C83" s="30" t="s">
        <v>83</v>
      </c>
      <c r="D83" s="29" t="s">
        <v>55</v>
      </c>
      <c r="E83" s="29">
        <f>407.43*1/1000</f>
        <v>0.40743000000000001</v>
      </c>
    </row>
    <row r="84" spans="2:5" ht="28.8" x14ac:dyDescent="0.2">
      <c r="B84" s="31"/>
      <c r="C84" s="30" t="s">
        <v>82</v>
      </c>
      <c r="D84" s="29" t="s">
        <v>55</v>
      </c>
      <c r="E84" s="29">
        <f>1254.18*1/1000</f>
        <v>1.2541800000000001</v>
      </c>
    </row>
    <row r="85" spans="2:5" ht="28.8" x14ac:dyDescent="0.2">
      <c r="B85" s="31" t="s">
        <v>120</v>
      </c>
      <c r="C85" s="30" t="s">
        <v>93</v>
      </c>
      <c r="D85" s="29" t="s">
        <v>55</v>
      </c>
      <c r="E85" s="29">
        <f>120.32/1000*2*1</f>
        <v>0.24063999999999999</v>
      </c>
    </row>
    <row r="86" spans="2:5" ht="22.6" customHeight="1" x14ac:dyDescent="0.2">
      <c r="B86" s="31" t="s">
        <v>121</v>
      </c>
      <c r="C86" s="30" t="s">
        <v>61</v>
      </c>
      <c r="D86" s="29" t="s">
        <v>62</v>
      </c>
      <c r="E86" s="29">
        <f>E87/1.02/0.1</f>
        <v>2</v>
      </c>
    </row>
    <row r="87" spans="2:5" ht="28.8" x14ac:dyDescent="0.2">
      <c r="B87" s="31"/>
      <c r="C87" s="30" t="s">
        <v>85</v>
      </c>
      <c r="D87" s="29" t="s">
        <v>44</v>
      </c>
      <c r="E87" s="29">
        <f>0.2*1.02*1</f>
        <v>0.20400000000000001</v>
      </c>
    </row>
    <row r="88" spans="2:5" ht="22.6" customHeight="1" x14ac:dyDescent="0.2">
      <c r="B88" s="31"/>
      <c r="C88" s="30"/>
      <c r="D88" s="29"/>
      <c r="E88" s="29"/>
    </row>
    <row r="89" spans="2:5" ht="22.6" customHeight="1" x14ac:dyDescent="0.2">
      <c r="B89" s="31"/>
      <c r="C89" s="40" t="s">
        <v>72</v>
      </c>
      <c r="D89" s="29"/>
      <c r="E89" s="29"/>
    </row>
    <row r="90" spans="2:5" ht="22.6" customHeight="1" x14ac:dyDescent="0.2">
      <c r="B90" s="31" t="s">
        <v>122</v>
      </c>
      <c r="C90" s="30" t="s">
        <v>63</v>
      </c>
      <c r="D90" s="29" t="s">
        <v>44</v>
      </c>
      <c r="E90" s="29">
        <f>((4.5+0.2)*((6+0.2)*0.1)*12
+N("примечание.: объем бет. подготовки фундамента х кол-во штук"))</f>
        <v>34.968000000000004</v>
      </c>
    </row>
    <row r="91" spans="2:5" ht="28.8" x14ac:dyDescent="0.2">
      <c r="B91" s="31"/>
      <c r="C91" s="30" t="s">
        <v>58</v>
      </c>
      <c r="D91" s="29" t="s">
        <v>44</v>
      </c>
      <c r="E91" s="50" t="str">
        <f>ROUND((E90*1.02),3) &amp; TEXT(E90,"
##0,000") &amp; " х 1,02"</f>
        <v>35,667
34,968 х 1,02</v>
      </c>
    </row>
    <row r="92" spans="2:5" ht="22.6" customHeight="1" x14ac:dyDescent="0.2">
      <c r="B92" s="31" t="s">
        <v>123</v>
      </c>
      <c r="C92" s="30" t="s">
        <v>81</v>
      </c>
      <c r="D92" s="29" t="s">
        <v>44</v>
      </c>
      <c r="E92" s="29">
        <f>18.6*12</f>
        <v>223.20000000000002</v>
      </c>
    </row>
    <row r="93" spans="2:5" ht="43.2" x14ac:dyDescent="0.2">
      <c r="B93" s="31"/>
      <c r="C93" s="30" t="s">
        <v>66</v>
      </c>
      <c r="D93" s="29" t="s">
        <v>44</v>
      </c>
      <c r="E93" s="29" t="str">
        <f>ROUND((E92*1.015),3) &amp; TEXT(E92,"
##0,000") &amp; " х 1,015"</f>
        <v>226,548
223,200 х 1,015</v>
      </c>
    </row>
    <row r="94" spans="2:5" ht="28.8" x14ac:dyDescent="0.2">
      <c r="B94" s="31"/>
      <c r="C94" s="30" t="s">
        <v>84</v>
      </c>
      <c r="D94" s="29" t="s">
        <v>55</v>
      </c>
      <c r="E94" s="29">
        <f>23.34*12/1000</f>
        <v>0.28008</v>
      </c>
    </row>
    <row r="95" spans="2:5" ht="148.6" customHeight="1" thickBot="1" x14ac:dyDescent="0.25">
      <c r="B95" s="34"/>
      <c r="C95" s="37"/>
      <c r="D95" s="35"/>
      <c r="E95" s="38"/>
    </row>
    <row r="96" spans="2:5" ht="28.8" x14ac:dyDescent="0.2">
      <c r="B96" s="32"/>
      <c r="C96" s="41" t="s">
        <v>86</v>
      </c>
      <c r="D96" s="33" t="s">
        <v>55</v>
      </c>
      <c r="E96" s="33">
        <f>116*12/1000</f>
        <v>1.3919999999999999</v>
      </c>
    </row>
    <row r="97" spans="2:5" ht="28.8" x14ac:dyDescent="0.2">
      <c r="B97" s="31"/>
      <c r="C97" s="30" t="s">
        <v>87</v>
      </c>
      <c r="D97" s="29" t="s">
        <v>55</v>
      </c>
      <c r="E97" s="29">
        <f>62.72*12/1000</f>
        <v>0.75263999999999998</v>
      </c>
    </row>
    <row r="98" spans="2:5" ht="28.8" x14ac:dyDescent="0.2">
      <c r="B98" s="31"/>
      <c r="C98" s="30" t="s">
        <v>83</v>
      </c>
      <c r="D98" s="29" t="s">
        <v>55</v>
      </c>
      <c r="E98" s="29">
        <f>899.2*12/1000</f>
        <v>10.790400000000002</v>
      </c>
    </row>
    <row r="99" spans="2:5" ht="28.8" x14ac:dyDescent="0.2">
      <c r="B99" s="31"/>
      <c r="C99" s="30" t="s">
        <v>88</v>
      </c>
      <c r="D99" s="29" t="s">
        <v>55</v>
      </c>
      <c r="E99" s="29">
        <f>129.6*12/1000</f>
        <v>1.5551999999999999</v>
      </c>
    </row>
    <row r="100" spans="2:5" ht="28.8" x14ac:dyDescent="0.2">
      <c r="B100" s="31" t="s">
        <v>124</v>
      </c>
      <c r="C100" s="30" t="s">
        <v>94</v>
      </c>
      <c r="D100" s="29" t="s">
        <v>55</v>
      </c>
      <c r="E100" s="29">
        <f>120.32/1000*2*12</f>
        <v>2.88768</v>
      </c>
    </row>
    <row r="101" spans="2:5" ht="22.6" customHeight="1" x14ac:dyDescent="0.2">
      <c r="B101" s="31" t="s">
        <v>125</v>
      </c>
      <c r="C101" s="30" t="s">
        <v>61</v>
      </c>
      <c r="D101" s="29" t="s">
        <v>62</v>
      </c>
      <c r="E101" s="29">
        <f>E102/1.02/0.1</f>
        <v>24.000000000000004</v>
      </c>
    </row>
    <row r="102" spans="2:5" ht="28.8" x14ac:dyDescent="0.2">
      <c r="B102" s="31"/>
      <c r="C102" s="30" t="s">
        <v>85</v>
      </c>
      <c r="D102" s="29" t="s">
        <v>44</v>
      </c>
      <c r="E102" s="29">
        <f>0.2*1.02*12</f>
        <v>2.4480000000000004</v>
      </c>
    </row>
    <row r="103" spans="2:5" ht="22.6" customHeight="1" x14ac:dyDescent="0.2">
      <c r="B103" s="31"/>
      <c r="C103" s="30"/>
      <c r="D103" s="29"/>
      <c r="E103" s="29"/>
    </row>
    <row r="104" spans="2:5" ht="22.6" customHeight="1" x14ac:dyDescent="0.2">
      <c r="B104" s="31"/>
      <c r="C104" s="40" t="s">
        <v>73</v>
      </c>
      <c r="D104" s="29"/>
      <c r="E104" s="29"/>
    </row>
    <row r="105" spans="2:5" ht="22.6" customHeight="1" x14ac:dyDescent="0.2">
      <c r="B105" s="31" t="s">
        <v>126</v>
      </c>
      <c r="C105" s="30" t="s">
        <v>63</v>
      </c>
      <c r="D105" s="29" t="s">
        <v>44</v>
      </c>
      <c r="E105" s="29">
        <f>((6.6+0.2)*((8.4+0.2)*0.1)*1
+N("примечание.: объем бет. подготовки фундамента х кол-во штук"))</f>
        <v>5.8479999999999999</v>
      </c>
    </row>
    <row r="106" spans="2:5" ht="28.8" x14ac:dyDescent="0.2">
      <c r="B106" s="31"/>
      <c r="C106" s="30" t="s">
        <v>58</v>
      </c>
      <c r="D106" s="29" t="s">
        <v>44</v>
      </c>
      <c r="E106" s="50" t="str">
        <f>ROUND((E105*1.02),3) &amp; TEXT(E105,"
##0,000")&amp; " х 1,02"</f>
        <v>5,965
5,848 х 1,02</v>
      </c>
    </row>
    <row r="107" spans="2:5" ht="22.6" customHeight="1" x14ac:dyDescent="0.2">
      <c r="B107" s="31" t="s">
        <v>127</v>
      </c>
      <c r="C107" s="30" t="s">
        <v>81</v>
      </c>
      <c r="D107" s="29" t="s">
        <v>44</v>
      </c>
      <c r="E107" s="29">
        <f>39.6*1</f>
        <v>39.6</v>
      </c>
    </row>
    <row r="108" spans="2:5" ht="28.8" x14ac:dyDescent="0.2">
      <c r="B108" s="31"/>
      <c r="C108" s="30" t="s">
        <v>66</v>
      </c>
      <c r="D108" s="29" t="s">
        <v>44</v>
      </c>
      <c r="E108" s="29" t="str">
        <f>ROUND((E107*1.015),3) &amp; TEXT(E107,"
##0,000") &amp; " х 1,015"</f>
        <v>40,194
39,600 х 1,015</v>
      </c>
    </row>
    <row r="109" spans="2:5" ht="28.8" x14ac:dyDescent="0.2">
      <c r="B109" s="31"/>
      <c r="C109" s="30" t="s">
        <v>84</v>
      </c>
      <c r="D109" s="29" t="s">
        <v>55</v>
      </c>
      <c r="E109" s="29">
        <f>68.2*1/1000</f>
        <v>6.8199999999999997E-2</v>
      </c>
    </row>
    <row r="110" spans="2:5" ht="28.8" x14ac:dyDescent="0.2">
      <c r="B110" s="31"/>
      <c r="C110" s="30" t="s">
        <v>86</v>
      </c>
      <c r="D110" s="29" t="s">
        <v>55</v>
      </c>
      <c r="E110" s="29">
        <f>222.04*1/1000</f>
        <v>0.22203999999999999</v>
      </c>
    </row>
    <row r="111" spans="2:5" ht="28.8" x14ac:dyDescent="0.2">
      <c r="B111" s="31"/>
      <c r="C111" s="30" t="s">
        <v>87</v>
      </c>
      <c r="D111" s="29" t="s">
        <v>55</v>
      </c>
      <c r="E111" s="29">
        <f>123.48*1/1000</f>
        <v>0.12348000000000001</v>
      </c>
    </row>
    <row r="112" spans="2:5" ht="28.8" x14ac:dyDescent="0.2">
      <c r="B112" s="31"/>
      <c r="C112" s="30" t="s">
        <v>83</v>
      </c>
      <c r="D112" s="29" t="s">
        <v>55</v>
      </c>
      <c r="E112" s="29">
        <f>1738.8*1/1000</f>
        <v>1.7387999999999999</v>
      </c>
    </row>
    <row r="113" spans="2:5" ht="28.8" x14ac:dyDescent="0.2">
      <c r="B113" s="31"/>
      <c r="C113" s="30" t="s">
        <v>82</v>
      </c>
      <c r="D113" s="29" t="s">
        <v>55</v>
      </c>
      <c r="E113" s="29">
        <f>259.2*1/1000</f>
        <v>0.25919999999999999</v>
      </c>
    </row>
    <row r="114" spans="2:5" ht="28.8" x14ac:dyDescent="0.2">
      <c r="B114" s="31" t="s">
        <v>128</v>
      </c>
      <c r="C114" s="30" t="s">
        <v>95</v>
      </c>
      <c r="D114" s="29" t="s">
        <v>55</v>
      </c>
      <c r="E114" s="29">
        <f>120.32/1000*4*1</f>
        <v>0.48127999999999999</v>
      </c>
    </row>
    <row r="115" spans="2:5" ht="22.6" customHeight="1" x14ac:dyDescent="0.2">
      <c r="B115" s="31" t="s">
        <v>129</v>
      </c>
      <c r="C115" s="30" t="s">
        <v>61</v>
      </c>
      <c r="D115" s="29" t="s">
        <v>62</v>
      </c>
      <c r="E115" s="29">
        <f>E116/1.02/0.1</f>
        <v>5</v>
      </c>
    </row>
    <row r="116" spans="2:5" ht="28.8" x14ac:dyDescent="0.2">
      <c r="B116" s="31"/>
      <c r="C116" s="30" t="s">
        <v>85</v>
      </c>
      <c r="D116" s="29" t="s">
        <v>44</v>
      </c>
      <c r="E116" s="29">
        <f>0.5*1.02*1</f>
        <v>0.51</v>
      </c>
    </row>
    <row r="117" spans="2:5" ht="22.6" customHeight="1" x14ac:dyDescent="0.2">
      <c r="B117" s="31"/>
      <c r="C117" s="30"/>
      <c r="D117" s="29"/>
      <c r="E117" s="29"/>
    </row>
    <row r="118" spans="2:5" ht="22.6" customHeight="1" x14ac:dyDescent="0.2">
      <c r="B118" s="36"/>
      <c r="C118" s="40" t="s">
        <v>74</v>
      </c>
      <c r="D118" s="29"/>
      <c r="E118" s="29"/>
    </row>
    <row r="119" spans="2:5" ht="22.6" customHeight="1" x14ac:dyDescent="0.2">
      <c r="B119" s="31" t="s">
        <v>130</v>
      </c>
      <c r="C119" s="30" t="s">
        <v>63</v>
      </c>
      <c r="D119" s="29" t="s">
        <v>44</v>
      </c>
      <c r="E119" s="29">
        <f>((1.8+0.2)*((1.8+0.2)*0.1)*9
+N("примечание.: объем бет. подготовки фундамента х кол-во штук"))</f>
        <v>3.6</v>
      </c>
    </row>
    <row r="120" spans="2:5" ht="154.5" customHeight="1" thickBot="1" x14ac:dyDescent="0.25">
      <c r="B120" s="34"/>
      <c r="C120" s="37"/>
      <c r="D120" s="35"/>
      <c r="E120" s="38"/>
    </row>
    <row r="121" spans="2:5" ht="28.8" x14ac:dyDescent="0.2">
      <c r="B121" s="32"/>
      <c r="C121" s="41" t="s">
        <v>58</v>
      </c>
      <c r="D121" s="33" t="s">
        <v>44</v>
      </c>
      <c r="E121" s="61" t="str">
        <f>ROUND((E119*1.02),3) &amp; TEXT(E119,"
##0,000") &amp; " х 1,02"</f>
        <v>3,672
3,600 х 1,02</v>
      </c>
    </row>
    <row r="122" spans="2:5" ht="22.6" customHeight="1" x14ac:dyDescent="0.2">
      <c r="B122" s="31" t="s">
        <v>131</v>
      </c>
      <c r="C122" s="30" t="s">
        <v>81</v>
      </c>
      <c r="D122" s="29" t="s">
        <v>44</v>
      </c>
      <c r="E122" s="29">
        <f>3.12*9</f>
        <v>28.080000000000002</v>
      </c>
    </row>
    <row r="123" spans="2:5" ht="28.8" x14ac:dyDescent="0.2">
      <c r="B123" s="31"/>
      <c r="C123" s="30" t="s">
        <v>66</v>
      </c>
      <c r="D123" s="29" t="s">
        <v>44</v>
      </c>
      <c r="E123" s="29" t="str">
        <f>ROUND((E122*1.015),3) &amp; TEXT(E122,"
##0,000") &amp; " х 1,015"</f>
        <v>28,501
28,080 х 1,015</v>
      </c>
    </row>
    <row r="124" spans="2:5" ht="28.8" x14ac:dyDescent="0.2">
      <c r="B124" s="31"/>
      <c r="C124" s="30" t="s">
        <v>97</v>
      </c>
      <c r="D124" s="29" t="s">
        <v>55</v>
      </c>
      <c r="E124" s="29">
        <f>3.6*9/1000</f>
        <v>3.2399999999999998E-2</v>
      </c>
    </row>
    <row r="125" spans="2:5" ht="28.8" x14ac:dyDescent="0.2">
      <c r="B125" s="31"/>
      <c r="C125" s="30" t="s">
        <v>84</v>
      </c>
      <c r="D125" s="29" t="s">
        <v>55</v>
      </c>
      <c r="E125" s="29">
        <f>9*9/1000</f>
        <v>8.1000000000000003E-2</v>
      </c>
    </row>
    <row r="126" spans="2:5" ht="28.8" x14ac:dyDescent="0.2">
      <c r="B126" s="31"/>
      <c r="C126" s="30" t="s">
        <v>87</v>
      </c>
      <c r="D126" s="29" t="s">
        <v>55</v>
      </c>
      <c r="E126" s="29">
        <f>68.59*9/1000</f>
        <v>0.61731000000000003</v>
      </c>
    </row>
    <row r="127" spans="2:5" ht="28.8" x14ac:dyDescent="0.2">
      <c r="B127" s="31" t="s">
        <v>132</v>
      </c>
      <c r="C127" s="30" t="s">
        <v>96</v>
      </c>
      <c r="D127" s="29" t="s">
        <v>55</v>
      </c>
      <c r="E127" s="29">
        <f>88.24/1000*1*9</f>
        <v>0.79415999999999998</v>
      </c>
    </row>
    <row r="128" spans="2:5" ht="22.6" customHeight="1" x14ac:dyDescent="0.2">
      <c r="B128" s="31" t="s">
        <v>133</v>
      </c>
      <c r="C128" s="30" t="s">
        <v>61</v>
      </c>
      <c r="D128" s="29" t="s">
        <v>62</v>
      </c>
      <c r="E128" s="29">
        <f>E129/1.02/0.1</f>
        <v>9</v>
      </c>
    </row>
    <row r="129" spans="2:5" ht="28.8" x14ac:dyDescent="0.2">
      <c r="B129" s="31"/>
      <c r="C129" s="30" t="s">
        <v>85</v>
      </c>
      <c r="D129" s="29" t="s">
        <v>44</v>
      </c>
      <c r="E129" s="29">
        <f>0.1*1.02*9</f>
        <v>0.91800000000000004</v>
      </c>
    </row>
    <row r="130" spans="2:5" ht="22.6" customHeight="1" x14ac:dyDescent="0.2">
      <c r="B130" s="31"/>
      <c r="C130" s="30"/>
      <c r="D130" s="29"/>
      <c r="E130" s="29"/>
    </row>
    <row r="131" spans="2:5" ht="22.6" customHeight="1" x14ac:dyDescent="0.2">
      <c r="B131" s="36"/>
      <c r="C131" s="40" t="s">
        <v>75</v>
      </c>
      <c r="D131" s="29"/>
      <c r="E131" s="29"/>
    </row>
    <row r="132" spans="2:5" ht="22.6" customHeight="1" x14ac:dyDescent="0.2">
      <c r="B132" s="31" t="s">
        <v>134</v>
      </c>
      <c r="C132" s="30" t="s">
        <v>63</v>
      </c>
      <c r="D132" s="29" t="s">
        <v>44</v>
      </c>
      <c r="E132" s="29">
        <f>((6+0.2)*((6+0.2)*0.1)*1
+N("примечание.: объем бет. подготовки фундамента х кол-во штук"))</f>
        <v>3.8440000000000007</v>
      </c>
    </row>
    <row r="133" spans="2:5" ht="28.8" x14ac:dyDescent="0.2">
      <c r="B133" s="31"/>
      <c r="C133" s="30" t="s">
        <v>58</v>
      </c>
      <c r="D133" s="29" t="s">
        <v>44</v>
      </c>
      <c r="E133" s="50" t="str">
        <f>ROUND((E132*1.02),3) &amp; TEXT(E132,"
##0,000") &amp; " х 1,02"</f>
        <v>3,921
3,844 х 1,02</v>
      </c>
    </row>
    <row r="134" spans="2:5" ht="22.6" customHeight="1" x14ac:dyDescent="0.2">
      <c r="B134" s="31" t="s">
        <v>135</v>
      </c>
      <c r="C134" s="30" t="s">
        <v>81</v>
      </c>
      <c r="D134" s="29" t="s">
        <v>44</v>
      </c>
      <c r="E134" s="29">
        <f>26.4*1</f>
        <v>26.4</v>
      </c>
    </row>
    <row r="135" spans="2:5" ht="28.8" x14ac:dyDescent="0.2">
      <c r="B135" s="31"/>
      <c r="C135" s="30" t="s">
        <v>66</v>
      </c>
      <c r="D135" s="29" t="s">
        <v>44</v>
      </c>
      <c r="E135" s="29" t="str">
        <f>ROUND((E134*1.015),3) &amp; TEXT(E134,"
##0,000") &amp; " х 1,015"</f>
        <v>26,796
26,400 х 1,015</v>
      </c>
    </row>
    <row r="136" spans="2:5" ht="28.8" x14ac:dyDescent="0.2">
      <c r="B136" s="31"/>
      <c r="C136" s="30" t="s">
        <v>84</v>
      </c>
      <c r="D136" s="29" t="s">
        <v>55</v>
      </c>
      <c r="E136" s="29">
        <f>46.68*1/1000</f>
        <v>4.6679999999999999E-2</v>
      </c>
    </row>
    <row r="137" spans="2:5" ht="28.8" x14ac:dyDescent="0.2">
      <c r="B137" s="31"/>
      <c r="C137" s="30" t="s">
        <v>86</v>
      </c>
      <c r="D137" s="29" t="s">
        <v>55</v>
      </c>
      <c r="E137" s="29">
        <f>174*1/1000</f>
        <v>0.17399999999999999</v>
      </c>
    </row>
    <row r="138" spans="2:5" ht="28.8" x14ac:dyDescent="0.2">
      <c r="B138" s="31"/>
      <c r="C138" s="30" t="s">
        <v>87</v>
      </c>
      <c r="D138" s="29" t="s">
        <v>55</v>
      </c>
      <c r="E138" s="29">
        <f>94.08*1/1000</f>
        <v>9.4079999999999997E-2</v>
      </c>
    </row>
    <row r="139" spans="2:5" ht="28.8" x14ac:dyDescent="0.2">
      <c r="B139" s="31"/>
      <c r="C139" s="30" t="s">
        <v>83</v>
      </c>
      <c r="D139" s="29" t="s">
        <v>55</v>
      </c>
      <c r="E139" s="29">
        <f>1139.96*1/1000</f>
        <v>1.1399600000000001</v>
      </c>
    </row>
    <row r="140" spans="2:5" ht="28.8" x14ac:dyDescent="0.2">
      <c r="B140" s="31"/>
      <c r="C140" s="30" t="s">
        <v>88</v>
      </c>
      <c r="D140" s="29" t="s">
        <v>55</v>
      </c>
      <c r="E140" s="29">
        <f>258.88*1/1000</f>
        <v>0.25888</v>
      </c>
    </row>
    <row r="141" spans="2:5" ht="28.8" x14ac:dyDescent="0.2">
      <c r="B141" s="31" t="s">
        <v>136</v>
      </c>
      <c r="C141" s="30" t="s">
        <v>95</v>
      </c>
      <c r="D141" s="29" t="s">
        <v>55</v>
      </c>
      <c r="E141" s="29">
        <f>120.32/1000*4*1</f>
        <v>0.48127999999999999</v>
      </c>
    </row>
    <row r="142" spans="2:5" ht="22.6" customHeight="1" x14ac:dyDescent="0.2">
      <c r="B142" s="31" t="s">
        <v>137</v>
      </c>
      <c r="C142" s="30" t="s">
        <v>61</v>
      </c>
      <c r="D142" s="29" t="s">
        <v>62</v>
      </c>
      <c r="E142" s="29">
        <f>E143/1.02/0.1</f>
        <v>4</v>
      </c>
    </row>
    <row r="143" spans="2:5" ht="28.8" x14ac:dyDescent="0.2">
      <c r="B143" s="31"/>
      <c r="C143" s="30" t="s">
        <v>85</v>
      </c>
      <c r="D143" s="29" t="s">
        <v>44</v>
      </c>
      <c r="E143" s="29">
        <f>0.4*1.02*1</f>
        <v>0.40800000000000003</v>
      </c>
    </row>
    <row r="144" spans="2:5" ht="22.6" customHeight="1" x14ac:dyDescent="0.2">
      <c r="B144" s="31"/>
      <c r="C144" s="30"/>
      <c r="D144" s="29"/>
      <c r="E144" s="29"/>
    </row>
    <row r="145" spans="2:5" ht="149.25" customHeight="1" thickBot="1" x14ac:dyDescent="0.25">
      <c r="B145" s="34"/>
      <c r="C145" s="37"/>
      <c r="D145" s="35"/>
      <c r="E145" s="38"/>
    </row>
    <row r="146" spans="2:5" ht="22.6" customHeight="1" x14ac:dyDescent="0.2">
      <c r="B146" s="44"/>
      <c r="C146" s="57" t="s">
        <v>76</v>
      </c>
      <c r="D146" s="33"/>
      <c r="E146" s="33"/>
    </row>
    <row r="147" spans="2:5" ht="22.6" customHeight="1" x14ac:dyDescent="0.2">
      <c r="B147" s="31" t="s">
        <v>138</v>
      </c>
      <c r="C147" s="30" t="s">
        <v>63</v>
      </c>
      <c r="D147" s="29" t="s">
        <v>44</v>
      </c>
      <c r="E147" s="29">
        <f>((0.9+0.2)*((0.9+0.2)*0.1)*1
+N("примечание.: объем бет. подготовки фундамента х кол-во штук"))</f>
        <v>0.12100000000000002</v>
      </c>
    </row>
    <row r="148" spans="2:5" ht="28.8" x14ac:dyDescent="0.2">
      <c r="B148" s="31"/>
      <c r="C148" s="30" t="s">
        <v>58</v>
      </c>
      <c r="D148" s="29" t="s">
        <v>44</v>
      </c>
      <c r="E148" s="50" t="str">
        <f>ROUND((E147*1.02),3) &amp; TEXT(E147,"
##0,000")&amp; " х 1,02"</f>
        <v>0,123
0,121 х 1,02</v>
      </c>
    </row>
    <row r="149" spans="2:5" ht="22.6" customHeight="1" x14ac:dyDescent="0.2">
      <c r="B149" s="31" t="s">
        <v>139</v>
      </c>
      <c r="C149" s="30" t="s">
        <v>81</v>
      </c>
      <c r="D149" s="29" t="s">
        <v>44</v>
      </c>
      <c r="E149" s="29">
        <f>0.72*1</f>
        <v>0.72</v>
      </c>
    </row>
    <row r="150" spans="2:5" ht="28.8" x14ac:dyDescent="0.2">
      <c r="B150" s="31"/>
      <c r="C150" s="30" t="s">
        <v>66</v>
      </c>
      <c r="D150" s="29" t="s">
        <v>44</v>
      </c>
      <c r="E150" s="29" t="str">
        <f>ROUND((E149*1.015),3) &amp; TEXT(E149,"
##0,000") &amp; " х 1,015"</f>
        <v>0,731
0,720 х 1,015</v>
      </c>
    </row>
    <row r="151" spans="2:5" ht="28.8" x14ac:dyDescent="0.2">
      <c r="B151" s="31"/>
      <c r="C151" s="30" t="s">
        <v>97</v>
      </c>
      <c r="D151" s="29" t="s">
        <v>55</v>
      </c>
      <c r="E151" s="29">
        <f>2*1/1000</f>
        <v>2E-3</v>
      </c>
    </row>
    <row r="152" spans="2:5" ht="28.8" x14ac:dyDescent="0.2">
      <c r="B152" s="31"/>
      <c r="C152" s="30" t="s">
        <v>99</v>
      </c>
      <c r="D152" s="29" t="s">
        <v>55</v>
      </c>
      <c r="E152" s="29">
        <f>22.83*1/1000</f>
        <v>2.283E-2</v>
      </c>
    </row>
    <row r="153" spans="2:5" ht="43.2" x14ac:dyDescent="0.2">
      <c r="B153" s="31" t="s">
        <v>140</v>
      </c>
      <c r="C153" s="30" t="s">
        <v>98</v>
      </c>
      <c r="D153" s="29" t="s">
        <v>55</v>
      </c>
      <c r="E153" s="29">
        <f>21.2/1000*1*1</f>
        <v>2.12E-2</v>
      </c>
    </row>
    <row r="154" spans="2:5" ht="22.6" customHeight="1" x14ac:dyDescent="0.2">
      <c r="B154" s="31"/>
      <c r="C154" s="30"/>
      <c r="D154" s="29"/>
      <c r="E154" s="29"/>
    </row>
    <row r="155" spans="2:5" ht="22.6" customHeight="1" x14ac:dyDescent="0.2">
      <c r="B155" s="36"/>
      <c r="C155" s="40" t="s">
        <v>77</v>
      </c>
      <c r="D155" s="29"/>
      <c r="E155" s="29"/>
    </row>
    <row r="156" spans="2:5" ht="22.6" customHeight="1" x14ac:dyDescent="0.2">
      <c r="B156" s="31" t="s">
        <v>141</v>
      </c>
      <c r="C156" s="30" t="s">
        <v>63</v>
      </c>
      <c r="D156" s="29" t="s">
        <v>44</v>
      </c>
      <c r="E156" s="29">
        <f>((2.1+0.2)*((2.1+0.2)*0.1)*3
+N("примечание.: объем бет. подготовки фундамента х кол-во штук"))</f>
        <v>1.5870000000000004</v>
      </c>
    </row>
    <row r="157" spans="2:5" ht="28.8" x14ac:dyDescent="0.2">
      <c r="B157" s="31"/>
      <c r="C157" s="30" t="s">
        <v>58</v>
      </c>
      <c r="D157" s="29" t="s">
        <v>44</v>
      </c>
      <c r="E157" s="50" t="str">
        <f>ROUND((E156*1.02),3) &amp; TEXT(E156,"
##0,000") &amp; " х 1,02"</f>
        <v>1,619
1,587 х 1,02</v>
      </c>
    </row>
    <row r="158" spans="2:5" ht="22.6" customHeight="1" x14ac:dyDescent="0.2">
      <c r="B158" s="31" t="s">
        <v>142</v>
      </c>
      <c r="C158" s="30" t="s">
        <v>81</v>
      </c>
      <c r="D158" s="29" t="s">
        <v>44</v>
      </c>
      <c r="E158" s="29">
        <f>6.84*3</f>
        <v>20.52</v>
      </c>
    </row>
    <row r="159" spans="2:5" ht="28.8" x14ac:dyDescent="0.2">
      <c r="B159" s="31"/>
      <c r="C159" s="30" t="s">
        <v>66</v>
      </c>
      <c r="D159" s="29" t="s">
        <v>44</v>
      </c>
      <c r="E159" s="29" t="str">
        <f>ROUND((E158*1.015),3) &amp; TEXT(E158,"
##0,000") &amp; " х 1,015"</f>
        <v>20,828
20,520 х 1,015</v>
      </c>
    </row>
    <row r="160" spans="2:5" ht="28.8" x14ac:dyDescent="0.2">
      <c r="B160" s="31"/>
      <c r="C160" s="30" t="s">
        <v>84</v>
      </c>
      <c r="D160" s="29" t="s">
        <v>55</v>
      </c>
      <c r="E160" s="29">
        <f>18.36*3/1000</f>
        <v>5.5079999999999997E-2</v>
      </c>
    </row>
    <row r="161" spans="2:5" ht="28.8" x14ac:dyDescent="0.2">
      <c r="B161" s="31"/>
      <c r="C161" s="30" t="s">
        <v>99</v>
      </c>
      <c r="D161" s="29" t="s">
        <v>55</v>
      </c>
      <c r="E161" s="29">
        <f>50.07*3/1000</f>
        <v>0.15021000000000001</v>
      </c>
    </row>
    <row r="162" spans="2:5" ht="28.8" x14ac:dyDescent="0.2">
      <c r="B162" s="31"/>
      <c r="C162" s="30" t="s">
        <v>83</v>
      </c>
      <c r="D162" s="29" t="s">
        <v>55</v>
      </c>
      <c r="E162" s="29">
        <f>104.74*3/1000</f>
        <v>0.31421999999999994</v>
      </c>
    </row>
    <row r="163" spans="2:5" ht="28.8" x14ac:dyDescent="0.2">
      <c r="B163" s="31" t="s">
        <v>143</v>
      </c>
      <c r="C163" s="30" t="s">
        <v>100</v>
      </c>
      <c r="D163" s="29" t="s">
        <v>55</v>
      </c>
      <c r="E163" s="29">
        <f>83.56/1000*1*3</f>
        <v>0.25068000000000001</v>
      </c>
    </row>
    <row r="164" spans="2:5" ht="22.6" customHeight="1" x14ac:dyDescent="0.2">
      <c r="B164" s="31" t="s">
        <v>144</v>
      </c>
      <c r="C164" s="30" t="s">
        <v>61</v>
      </c>
      <c r="D164" s="29" t="s">
        <v>62</v>
      </c>
      <c r="E164" s="29">
        <f>E165/1.02/0.1</f>
        <v>2.4299999999999997</v>
      </c>
    </row>
    <row r="165" spans="2:5" ht="28.8" x14ac:dyDescent="0.2">
      <c r="B165" s="31"/>
      <c r="C165" s="30" t="s">
        <v>85</v>
      </c>
      <c r="D165" s="29" t="s">
        <v>44</v>
      </c>
      <c r="E165" s="29">
        <f>0.081*1.02*3</f>
        <v>0.24786</v>
      </c>
    </row>
    <row r="166" spans="2:5" ht="22.6" customHeight="1" x14ac:dyDescent="0.2">
      <c r="B166" s="36"/>
      <c r="C166" s="30"/>
      <c r="D166" s="29"/>
      <c r="E166" s="29"/>
    </row>
    <row r="167" spans="2:5" ht="22.6" customHeight="1" x14ac:dyDescent="0.2">
      <c r="B167" s="36"/>
      <c r="C167" s="40" t="s">
        <v>78</v>
      </c>
      <c r="D167" s="29"/>
      <c r="E167" s="29"/>
    </row>
    <row r="168" spans="2:5" ht="22.6" customHeight="1" x14ac:dyDescent="0.2">
      <c r="B168" s="31" t="s">
        <v>145</v>
      </c>
      <c r="C168" s="30" t="s">
        <v>63</v>
      </c>
      <c r="D168" s="29" t="s">
        <v>44</v>
      </c>
      <c r="E168" s="29">
        <f>((2.4+0.2)*((2.4+0.2)*0.1)*3
+N("примечание.: объем бет. подготовки фундамента х кол-во штук"))</f>
        <v>2.028</v>
      </c>
    </row>
    <row r="169" spans="2:5" ht="28.8" x14ac:dyDescent="0.2">
      <c r="B169" s="31"/>
      <c r="C169" s="30" t="s">
        <v>58</v>
      </c>
      <c r="D169" s="29" t="s">
        <v>44</v>
      </c>
      <c r="E169" s="50" t="str">
        <f>ROUND((E168*1.02),3) &amp; TEXT(E168,"
##0,000") &amp; " х 1,02"</f>
        <v>2,069
2,028 х 1,02</v>
      </c>
    </row>
    <row r="170" spans="2:5" ht="22.6" customHeight="1" x14ac:dyDescent="0.2">
      <c r="B170" s="31" t="s">
        <v>146</v>
      </c>
      <c r="C170" s="30" t="s">
        <v>81</v>
      </c>
      <c r="D170" s="29" t="s">
        <v>44</v>
      </c>
      <c r="E170" s="29">
        <f>6.84*3</f>
        <v>20.52</v>
      </c>
    </row>
    <row r="171" spans="2:5" ht="132.75" customHeight="1" thickBot="1" x14ac:dyDescent="0.25">
      <c r="B171" s="34"/>
      <c r="C171" s="37"/>
      <c r="D171" s="35"/>
      <c r="E171" s="38"/>
    </row>
    <row r="172" spans="2:5" ht="28.8" x14ac:dyDescent="0.2">
      <c r="B172" s="32"/>
      <c r="C172" s="41" t="s">
        <v>66</v>
      </c>
      <c r="D172" s="33" t="s">
        <v>44</v>
      </c>
      <c r="E172" s="33" t="str">
        <f>ROUND((E170*1.015),3) &amp; TEXT(E170,"
##0,000") &amp; " х 1,015"</f>
        <v>20,828
20,520 х 1,015</v>
      </c>
    </row>
    <row r="173" spans="2:5" ht="28.8" x14ac:dyDescent="0.2">
      <c r="B173" s="31"/>
      <c r="C173" s="30" t="s">
        <v>84</v>
      </c>
      <c r="D173" s="29" t="s">
        <v>55</v>
      </c>
      <c r="E173" s="29">
        <f>18.36*3/1000</f>
        <v>5.5079999999999997E-2</v>
      </c>
    </row>
    <row r="174" spans="2:5" ht="28.8" x14ac:dyDescent="0.2">
      <c r="B174" s="31"/>
      <c r="C174" s="30" t="s">
        <v>99</v>
      </c>
      <c r="D174" s="29" t="s">
        <v>55</v>
      </c>
      <c r="E174" s="29">
        <f>50.07*3/1000</f>
        <v>0.15021000000000001</v>
      </c>
    </row>
    <row r="175" spans="2:5" ht="28.8" x14ac:dyDescent="0.2">
      <c r="B175" s="31"/>
      <c r="C175" s="30" t="s">
        <v>83</v>
      </c>
      <c r="D175" s="29" t="s">
        <v>55</v>
      </c>
      <c r="E175" s="29">
        <f>104.74*3/1000</f>
        <v>0.31421999999999994</v>
      </c>
    </row>
    <row r="176" spans="2:5" ht="43.2" x14ac:dyDescent="0.2">
      <c r="B176" s="31" t="s">
        <v>147</v>
      </c>
      <c r="C176" s="30" t="s">
        <v>101</v>
      </c>
      <c r="D176" s="29" t="s">
        <v>55</v>
      </c>
      <c r="E176" s="29">
        <f>43.8/1000*1*3</f>
        <v>0.13139999999999999</v>
      </c>
    </row>
    <row r="177" spans="2:5" ht="22.6" customHeight="1" x14ac:dyDescent="0.2">
      <c r="B177" s="36"/>
      <c r="C177" s="30"/>
      <c r="D177" s="29"/>
      <c r="E177" s="29"/>
    </row>
    <row r="178" spans="2:5" ht="22.6" customHeight="1" x14ac:dyDescent="0.2">
      <c r="B178" s="36"/>
      <c r="C178" s="40" t="s">
        <v>79</v>
      </c>
      <c r="D178" s="29"/>
      <c r="E178" s="29"/>
    </row>
    <row r="179" spans="2:5" ht="22.6" customHeight="1" x14ac:dyDescent="0.2">
      <c r="B179" s="31" t="s">
        <v>148</v>
      </c>
      <c r="C179" s="30" t="s">
        <v>63</v>
      </c>
      <c r="D179" s="29" t="s">
        <v>44</v>
      </c>
      <c r="E179" s="29">
        <f>((2.4+0.2)*((2.4+0.2)*0.1)*1
+N("примечание.: объем бет. подготовки фундамента х кол-во штук"))</f>
        <v>0.67600000000000005</v>
      </c>
    </row>
    <row r="180" spans="2:5" ht="28.8" x14ac:dyDescent="0.2">
      <c r="B180" s="31"/>
      <c r="C180" s="30" t="s">
        <v>58</v>
      </c>
      <c r="D180" s="29" t="s">
        <v>44</v>
      </c>
      <c r="E180" s="50" t="str">
        <f>ROUND((E179*1.02),3) &amp; TEXT(E179,"
##0,000") &amp; " х 1,02"</f>
        <v>0,69
0,676 х 1,02</v>
      </c>
    </row>
    <row r="181" spans="2:5" ht="22.6" customHeight="1" x14ac:dyDescent="0.2">
      <c r="B181" s="31" t="s">
        <v>149</v>
      </c>
      <c r="C181" s="30" t="s">
        <v>81</v>
      </c>
      <c r="D181" s="29" t="s">
        <v>44</v>
      </c>
      <c r="E181" s="29">
        <f>7.83*1</f>
        <v>7.83</v>
      </c>
    </row>
    <row r="182" spans="2:5" ht="28.8" x14ac:dyDescent="0.2">
      <c r="B182" s="31"/>
      <c r="C182" s="30" t="s">
        <v>66</v>
      </c>
      <c r="D182" s="29" t="s">
        <v>44</v>
      </c>
      <c r="E182" s="29" t="str">
        <f>ROUND((E181*1.015),3) &amp; TEXT(E181,"
##0,000") &amp; " х 1,015"</f>
        <v>7,947
7,830 х 1,015</v>
      </c>
    </row>
    <row r="183" spans="2:5" ht="28.8" x14ac:dyDescent="0.2">
      <c r="B183" s="31"/>
      <c r="C183" s="30" t="s">
        <v>84</v>
      </c>
      <c r="D183" s="29" t="s">
        <v>55</v>
      </c>
      <c r="E183" s="29">
        <f>22.96*1/1000</f>
        <v>2.2960000000000001E-2</v>
      </c>
    </row>
    <row r="184" spans="2:5" ht="28.8" x14ac:dyDescent="0.2">
      <c r="B184" s="31"/>
      <c r="C184" s="30" t="s">
        <v>99</v>
      </c>
      <c r="D184" s="29" t="s">
        <v>55</v>
      </c>
      <c r="E184" s="29">
        <f>50.07*1/1000</f>
        <v>5.0070000000000003E-2</v>
      </c>
    </row>
    <row r="185" spans="2:5" ht="28.8" x14ac:dyDescent="0.2">
      <c r="B185" s="31"/>
      <c r="C185" s="30" t="s">
        <v>83</v>
      </c>
      <c r="D185" s="29" t="s">
        <v>55</v>
      </c>
      <c r="E185" s="29">
        <f>125.18*1/1000</f>
        <v>0.12518000000000001</v>
      </c>
    </row>
    <row r="186" spans="2:5" ht="43.2" x14ac:dyDescent="0.2">
      <c r="B186" s="31" t="s">
        <v>150</v>
      </c>
      <c r="C186" s="30" t="s">
        <v>101</v>
      </c>
      <c r="D186" s="29" t="s">
        <v>55</v>
      </c>
      <c r="E186" s="29">
        <f>43.8/1000*1*1</f>
        <v>4.3799999999999999E-2</v>
      </c>
    </row>
    <row r="187" spans="2:5" ht="22.6" customHeight="1" x14ac:dyDescent="0.2">
      <c r="B187" s="36"/>
      <c r="C187" s="40"/>
      <c r="D187" s="29"/>
      <c r="E187" s="29"/>
    </row>
    <row r="188" spans="2:5" ht="22.6" customHeight="1" x14ac:dyDescent="0.2">
      <c r="B188" s="36"/>
      <c r="C188" s="40" t="s">
        <v>80</v>
      </c>
      <c r="D188" s="29"/>
      <c r="E188" s="29"/>
    </row>
    <row r="189" spans="2:5" ht="22.6" customHeight="1" x14ac:dyDescent="0.2">
      <c r="B189" s="31" t="s">
        <v>151</v>
      </c>
      <c r="C189" s="30" t="s">
        <v>63</v>
      </c>
      <c r="D189" s="29" t="s">
        <v>44</v>
      </c>
      <c r="E189" s="29">
        <f>((8.4+0.2)*((6+0.2)*0.1)*1
+N("примечание.: объем бет. подготовки фундамента х кол-во штук"))</f>
        <v>5.3320000000000007</v>
      </c>
    </row>
    <row r="190" spans="2:5" ht="28.8" x14ac:dyDescent="0.2">
      <c r="B190" s="31"/>
      <c r="C190" s="30" t="s">
        <v>58</v>
      </c>
      <c r="D190" s="29" t="s">
        <v>44</v>
      </c>
      <c r="E190" s="50" t="str">
        <f>ROUND((E189*1.02),3) &amp; TEXT(E189,"
##0,000") &amp; " х 1,02"</f>
        <v>5,439
5,332 х 1,02</v>
      </c>
    </row>
    <row r="191" spans="2:5" ht="22.6" customHeight="1" x14ac:dyDescent="0.2">
      <c r="B191" s="31" t="s">
        <v>152</v>
      </c>
      <c r="C191" s="30" t="s">
        <v>81</v>
      </c>
      <c r="D191" s="29" t="s">
        <v>44</v>
      </c>
      <c r="E191" s="29">
        <f>39.36*1</f>
        <v>39.36</v>
      </c>
    </row>
    <row r="192" spans="2:5" ht="28.8" x14ac:dyDescent="0.2">
      <c r="B192" s="31"/>
      <c r="C192" s="30" t="s">
        <v>66</v>
      </c>
      <c r="D192" s="29" t="s">
        <v>44</v>
      </c>
      <c r="E192" s="29" t="str">
        <f>ROUND((E191*1.015),3) &amp; TEXT(E191,"
##0,000") &amp; " х 1,015"</f>
        <v>39,95
39,360 х 1,015</v>
      </c>
    </row>
    <row r="193" spans="2:5" ht="28.8" x14ac:dyDescent="0.2">
      <c r="B193" s="31"/>
      <c r="C193" s="30" t="s">
        <v>84</v>
      </c>
      <c r="D193" s="29" t="s">
        <v>55</v>
      </c>
      <c r="E193" s="29">
        <f>97.98*1/1000</f>
        <v>9.7979999999999998E-2</v>
      </c>
    </row>
    <row r="194" spans="2:5" ht="28.8" x14ac:dyDescent="0.2">
      <c r="B194" s="31"/>
      <c r="C194" s="30" t="s">
        <v>86</v>
      </c>
      <c r="D194" s="29" t="s">
        <v>55</v>
      </c>
      <c r="E194" s="29">
        <f>203*1/1000</f>
        <v>0.20300000000000001</v>
      </c>
    </row>
    <row r="195" spans="2:5" ht="149.25" customHeight="1" thickBot="1" x14ac:dyDescent="0.25">
      <c r="B195" s="34"/>
      <c r="C195" s="37"/>
      <c r="D195" s="35"/>
      <c r="E195" s="38"/>
    </row>
    <row r="196" spans="2:5" ht="28.8" x14ac:dyDescent="0.2">
      <c r="B196" s="32"/>
      <c r="C196" s="41" t="s">
        <v>87</v>
      </c>
      <c r="D196" s="33" t="s">
        <v>55</v>
      </c>
      <c r="E196" s="33">
        <f>109.76*1/1000</f>
        <v>0.10976000000000001</v>
      </c>
    </row>
    <row r="197" spans="2:5" ht="28.8" x14ac:dyDescent="0.2">
      <c r="B197" s="31"/>
      <c r="C197" s="30" t="s">
        <v>83</v>
      </c>
      <c r="D197" s="29" t="s">
        <v>55</v>
      </c>
      <c r="E197" s="29">
        <f>1542*1/1000</f>
        <v>1.542</v>
      </c>
    </row>
    <row r="198" spans="2:5" ht="28.8" x14ac:dyDescent="0.2">
      <c r="B198" s="31"/>
      <c r="C198" s="30" t="s">
        <v>88</v>
      </c>
      <c r="D198" s="29" t="s">
        <v>55</v>
      </c>
      <c r="E198" s="29">
        <f>463.92*1/1000</f>
        <v>0.46392</v>
      </c>
    </row>
    <row r="199" spans="2:5" ht="28.8" x14ac:dyDescent="0.2">
      <c r="B199" s="31" t="s">
        <v>153</v>
      </c>
      <c r="C199" s="30" t="s">
        <v>91</v>
      </c>
      <c r="D199" s="29" t="s">
        <v>55</v>
      </c>
      <c r="E199" s="29">
        <f>120.32/1000*6*1</f>
        <v>0.72192000000000001</v>
      </c>
    </row>
    <row r="200" spans="2:5" ht="22.6" customHeight="1" x14ac:dyDescent="0.2">
      <c r="B200" s="31" t="s">
        <v>154</v>
      </c>
      <c r="C200" s="30" t="s">
        <v>61</v>
      </c>
      <c r="D200" s="29" t="s">
        <v>62</v>
      </c>
      <c r="E200" s="29">
        <f>E201/1.02/0.1</f>
        <v>5.9999999999999991</v>
      </c>
    </row>
    <row r="201" spans="2:5" ht="28.8" x14ac:dyDescent="0.2">
      <c r="B201" s="31"/>
      <c r="C201" s="30" t="s">
        <v>85</v>
      </c>
      <c r="D201" s="29" t="s">
        <v>44</v>
      </c>
      <c r="E201" s="29">
        <f>0.6*1.02*1</f>
        <v>0.61199999999999999</v>
      </c>
    </row>
    <row r="202" spans="2:5" ht="408.8" customHeight="1" x14ac:dyDescent="0.2">
      <c r="B202" s="62"/>
      <c r="C202" s="63"/>
      <c r="D202" s="64"/>
      <c r="E202" s="65"/>
    </row>
    <row r="203" spans="2:5" ht="215.2" customHeight="1" thickBot="1" x14ac:dyDescent="0.25">
      <c r="B203" s="66"/>
      <c r="C203" s="67"/>
      <c r="D203" s="68"/>
      <c r="E203" s="69"/>
    </row>
  </sheetData>
  <sheetProtection password="CCCD" sheet="1" objects="1" scenarios="1"/>
  <pageMargins left="0.19685039370078738" right="0.19685039370078738" top="0.23622047244094485" bottom="0.27559055118110232" header="0.19685039370078738" footer="0"/>
  <pageSetup paperSize="9" orientation="portrait" r:id="rId1"/>
  <rowBreaks count="9" manualBreakCount="9">
    <brk id="20" max="4" man="1"/>
    <brk id="45" max="4" man="1"/>
    <brk id="70" max="4" man="1"/>
    <brk id="95" max="4" man="1"/>
    <brk id="120" max="4" man="1"/>
    <brk id="145" max="4" man="1"/>
    <brk id="171" max="4" man="1"/>
    <brk id="195" max="4" man="1"/>
    <brk id="203" max="4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VitroCalcFieldListForm</Display>
  <Edit>VitroCalcFieldListForm</Edit>
  <New>VitroCalcFieldListForm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ustomFinishDatePlan xmlns="0b29d19c-4397-4966-8390-24542e2f9528" xsi:nil="true"/>
    <VitroProjectDocumentArchiveDataIn xmlns="0b29d19c-4397-4966-8390-24542e2f9528" xsi:nil="true"/>
    <VitroProjectDocumentFormat xmlns="0b29d19c-4397-4966-8390-24542e2f9528" xsi:nil="true"/>
    <CustomHoD xmlns="0b29d19c-4397-4966-8390-24542e2f9528" xsi:nil="true"/>
    <VitroProjectSheetCount xmlns="0b29d19c-4397-4966-8390-24542e2f9528" xsi:nil="true"/>
    <CustomSurnameChiefSpec xmlns="0b29d19c-4397-4966-8390-24542e2f9528" xsi:nil="true"/>
    <VitroProjectName xmlns="0b29d19c-4397-4966-8390-24542e2f9528" xsi:nil="true"/>
    <VitroBaseDocumentStatus xmlns="0b29d19c-4397-4966-8390-24542e2f9528" xsi:nil="true"/>
    <IconOverlay xmlns="http://schemas.microsoft.com/sharepoint/v4" xsi:nil="true"/>
    <VitroProjectDocumentSheetNumber xmlns="0b29d19c-4397-4966-8390-24542e2f9528" xsi:nil="true"/>
    <CustomDocCode xmlns="0b29d19c-4397-4966-8390-24542e2f9528" xsi:nil="true"/>
    <CustomSurnameDev1 xmlns="0b29d19c-4397-4966-8390-24542e2f9528" xsi:nil="true"/>
    <CustomSurnameControler xmlns="0b29d19c-4397-4966-8390-24542e2f9528" xsi:nil="true"/>
    <CustomCalcMainCode xmlns="0b29d19c-4397-4966-8390-24542e2f9528">------</CustomCalcMainCode>
    <PercentComplete xmlns="http://schemas.microsoft.com/sharepoint/v3" xsi:nil="true"/>
    <testtest xmlns="0b29d19c-4397-4966-8390-24542e2f9528" xsi:nil="true"/>
    <CustomDocName xmlns="0b29d19c-4397-4966-8390-24542e2f9528" xsi:nil="true"/>
    <CustomStartDateFact xmlns="0b29d19c-4397-4966-8390-24542e2f9528" xsi:nil="true"/>
    <VitroProjectDocumentCode xmlns="0b29d19c-4397-4966-8390-24542e2f9528" xsi:nil="true"/>
    <CustomFinishDateFact xmlns="0b29d19c-4397-4966-8390-24542e2f9528" xsi:nil="true"/>
    <CustomWorkCosts xmlns="0b29d19c-4397-4966-8390-24542e2f9528" xsi:nil="true"/>
    <CustomSurnameGroupMgr xmlns="0b29d19c-4397-4966-8390-24542e2f9528" xsi:nil="true"/>
    <VitroProjectDocumentArchiveForm xmlns="0b29d19c-4397-4966-8390-24542e2f9528" xsi:nil="true"/>
    <VitroProjectDocumentType xmlns="0b29d19c-4397-4966-8390-24542e2f9528" xsi:nil="true"/>
    <CustomStartDatePlan xmlns="0b29d19c-4397-4966-8390-24542e2f9528" xsi:nil="true"/>
    <VitroProjectBuildingBuildObject xmlns="0b29d19c-4397-4966-8390-24542e2f9528" xsi:nil="true"/>
    <VitroProjectDocumentBuilding xmlns="0b29d19c-4397-4966-8390-24542e2f9528" xsi:nil="true"/>
    <VitroBaseReleaseInit xmlns="0b29d19c-4397-4966-8390-24542e2f9528" xsi:nil="true"/>
    <VitroBaseDocumentReleaseLink xmlns="0b29d19c-4397-4966-8390-24542e2f9528">
      <Url xsi:nil="true"/>
      <Description xsi:nil="true"/>
    </VitroBaseDocumentReleaseLink>
    <VitroPublishName xmlns="0b29d19c-4397-4966-8390-24542e2f9528" xsi:nil="true"/>
    <VitroBaseInventoryNumber xmlns="0b29d19c-4397-4966-8390-24542e2f9528" xsi:nil="true"/>
    <VitroWorkflowProjectSheetSetCode xmlns="http://schemas.microsoft.com/sharepoint/v3" xsi:nil="true"/>
    <VitroBaseReleaseTimeStamp xmlns="0b29d19c-4397-4966-8390-24542e2f9528" xsi:nil="true"/>
    <VitroBaseDocumentCorrectNumber xmlns="0b29d19c-4397-4966-8390-24542e2f9528" xsi:nil="true"/>
    <VitroBaseDocumentRevisionCode xmlns="0b29d19c-4397-4966-8390-24542e2f9528" xsi:nil="true"/>
    <VitroBaseLast_x0020_UploadData xmlns="0b29d19c-4397-4966-8390-24542e2f9528" xsi:nil="true"/>
    <VitroBaseDocumentSheetPackage xmlns="0b29d19c-4397-4966-8390-24542e2f9528" xsi:nil="true"/>
    <VitroBaseDocumentRevision xmlns="0b29d19c-4397-4966-8390-24542e2f952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 проекта" ma:contentTypeID="0x010100D1086C54FB23B84C883E396A613013260061EAC7C52AC55A479634C43AE1823D35" ma:contentTypeVersion="241" ma:contentTypeDescription="Документ проекта" ma:contentTypeScope="" ma:versionID="a3526071af8560fafbeb1c05841d7d01">
  <xsd:schema xmlns:xsd="http://www.w3.org/2001/XMLSchema" xmlns:xs="http://www.w3.org/2001/XMLSchema" xmlns:p="http://schemas.microsoft.com/office/2006/metadata/properties" xmlns:ns1="http://schemas.microsoft.com/sharepoint/v3" xmlns:ns2="0b29d19c-4397-4966-8390-24542e2f9528" xmlns:ns3="http://schemas.microsoft.com/sharepoint/v4" targetNamespace="http://schemas.microsoft.com/office/2006/metadata/properties" ma:root="true" ma:fieldsID="43015bf177f719a746bf758b2f172fd8" ns1:_="" ns2:_="" ns3:_="">
    <xsd:import namespace="http://schemas.microsoft.com/sharepoint/v3"/>
    <xsd:import namespace="0b29d19c-4397-4966-8390-24542e2f9528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VitroProjectDocumentCode" minOccurs="0"/>
                <xsd:element ref="ns2:CustomDocName" minOccurs="0"/>
                <xsd:element ref="ns1:PercentComplete" minOccurs="0"/>
                <xsd:element ref="ns2:VitroProjectDocumentSheetNumber" minOccurs="0"/>
                <xsd:element ref="ns2:VitroProjectSheetCount" minOccurs="0"/>
                <xsd:element ref="ns2:CustomDocCode" minOccurs="0"/>
                <xsd:element ref="ns2:VitroProjectDocumentFormat" minOccurs="0"/>
                <xsd:element ref="ns2:CustomSurnameDev1" minOccurs="0"/>
                <xsd:element ref="ns2:CustomSurnameGroupMgr" minOccurs="0"/>
                <xsd:element ref="ns2:CustomSurnameChiefSpec" minOccurs="0"/>
                <xsd:element ref="ns2:CustomSurnameControler" minOccurs="0"/>
                <xsd:element ref="ns2:CustomHoD" minOccurs="0"/>
                <xsd:element ref="ns2:CustomStartDatePlan" minOccurs="0"/>
                <xsd:element ref="ns2:CustomStartDateFact" minOccurs="0"/>
                <xsd:element ref="ns2:CustomFinishDatePlan" minOccurs="0"/>
                <xsd:element ref="ns2:CustomFinishDateFact" minOccurs="0"/>
                <xsd:element ref="ns2:CustomWorkCosts" minOccurs="0"/>
                <xsd:element ref="ns2:VitroProjectName" minOccurs="0"/>
                <xsd:element ref="ns2:VitroProjectBuildingBuildObject" minOccurs="0"/>
                <xsd:element ref="ns2:VitroProjectDocumentBuilding" minOccurs="0"/>
                <xsd:element ref="ns2:VitroProjectDocumentArchiveDataIn" minOccurs="0"/>
                <xsd:element ref="ns3:IconOverlay" minOccurs="0"/>
                <xsd:element ref="ns2:testtest" minOccurs="0"/>
                <xsd:element ref="ns2:VitroProjectDocumentArchiveForm" minOccurs="0"/>
                <xsd:element ref="ns2:VitroProjectDocumentType" minOccurs="0"/>
                <xsd:element ref="ns2:CustomCalcMainCode" minOccurs="0"/>
                <xsd:element ref="ns2:SharedWithUsers" minOccurs="0"/>
                <xsd:element ref="ns2:VitroBaseDocumentStatus" minOccurs="0"/>
                <xsd:element ref="ns2:VitroBaseDocumentRevisionCode" minOccurs="0"/>
                <xsd:element ref="ns2:VitroBaseDocumentCorrectNumber" minOccurs="0"/>
                <xsd:element ref="ns2:VitroBaseDocumentRevision" minOccurs="0"/>
                <xsd:element ref="ns2:VitroBaseInventoryNumber" minOccurs="0"/>
                <xsd:element ref="ns1:VitroWorkflowProjectSheetSetCode" minOccurs="0"/>
                <xsd:element ref="ns2:VitroBaseLast_x0020_UploadData" minOccurs="0"/>
                <xsd:element ref="ns2:VitroBaseDocumentSheetPackage" minOccurs="0"/>
                <xsd:element ref="ns2:VitroPublishName" minOccurs="0"/>
                <xsd:element ref="ns2:VitroBaseReleaseTimeStamp" minOccurs="0"/>
                <xsd:element ref="ns2:VitroBaseReleaseInit" minOccurs="0"/>
                <xsd:element ref="ns2:VitroBaseReleaseInit_x003a_Название" minOccurs="0"/>
                <xsd:element ref="ns2:VitroBaseDocumentRelease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ercentComplete" ma:index="3" nillable="true" ma:displayName="% выполнения" ma:internalName="PercentComplete" ma:readOnly="false" ma:percentage="TRUE">
      <xsd:simpleType>
        <xsd:restriction base="dms:Number">
          <xsd:maxInclusive value="1"/>
          <xsd:minInclusive value="0"/>
        </xsd:restriction>
      </xsd:simpleType>
    </xsd:element>
    <xsd:element name="VitroWorkflowProjectSheetSetCode" ma:index="41" nillable="true" ma:displayName="Комплект" ma:internalName="VitroWorkflowProjectSheetSetCode" ma:web="~sitecolle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29d19c-4397-4966-8390-24542e2f9528" elementFormDefault="qualified">
    <xsd:import namespace="http://schemas.microsoft.com/office/2006/documentManagement/types"/>
    <xsd:import namespace="http://schemas.microsoft.com/office/infopath/2007/PartnerControls"/>
    <xsd:element name="VitroProjectDocumentCode" ma:index="1" nillable="true" ma:displayName="Номер документа" ma:internalName="VitroProjectDocumentCode" ma:readOnly="false">
      <xsd:simpleType>
        <xsd:restriction base="dms:Text">
          <xsd:maxLength value="255"/>
        </xsd:restriction>
      </xsd:simpleType>
    </xsd:element>
    <xsd:element name="CustomDocName" ma:index="2" nillable="true" ma:displayName="Наименование документа" ma:internalName="CustomDocName" ma:readOnly="false">
      <xsd:simpleType>
        <xsd:restriction base="dms:Text">
          <xsd:maxLength value="255"/>
        </xsd:restriction>
      </xsd:simpleType>
    </xsd:element>
    <xsd:element name="VitroProjectDocumentSheetNumber" ma:index="4" nillable="true" ma:displayName="Номер листа" ma:internalName="VitroProjectDocumentSheetNumber">
      <xsd:simpleType>
        <xsd:restriction base="dms:Text">
          <xsd:maxLength value="255"/>
        </xsd:restriction>
      </xsd:simpleType>
    </xsd:element>
    <xsd:element name="VitroProjectSheetCount" ma:index="5" nillable="true" ma:displayName="Количество листов" ma:internalName="VitroProjectSheetCount" ma:percentage="FALSE">
      <xsd:simpleType>
        <xsd:restriction base="dms:Number"/>
      </xsd:simpleType>
    </xsd:element>
    <xsd:element name="CustomDocCode" ma:index="6" nillable="true" ma:displayName="Код типа документа Ч,ТЧ" ma:internalName="CustomDocCode" ma:readOnly="false">
      <xsd:simpleType>
        <xsd:restriction base="dms:Text">
          <xsd:maxLength value="255"/>
        </xsd:restriction>
      </xsd:simpleType>
    </xsd:element>
    <xsd:element name="VitroProjectDocumentFormat" ma:index="7" nillable="true" ma:displayName="Формат листа" ma:list="{0075e15a-0a03-4ce9-9378-d4ae5f73b6e6}" ma:internalName="VitroProjectDocumentFormat" ma:readOnly="false" ma:showField="Title" ma:web="0b29d19c-4397-4966-8390-24542e2f9528">
      <xsd:simpleType>
        <xsd:restriction base="dms:Lookup"/>
      </xsd:simpleType>
    </xsd:element>
    <xsd:element name="CustomSurnameDev1" ma:index="8" nillable="true" ma:displayName="Фамилия разработчика" ma:list="{cbddf8e8-6e72-4e9d-9987-70e3c3f5ccde}" ma:internalName="CustomSurnameDev1" ma:readOnly="false" ma:showField="Title" ma:web="0b29d19c-4397-4966-8390-24542e2f9528">
      <xsd:simpleType>
        <xsd:restriction base="dms:Unknown"/>
      </xsd:simpleType>
    </xsd:element>
    <xsd:element name="CustomSurnameGroupMgr" ma:index="9" nillable="true" ma:displayName="Фамилия руководителя группы" ma:list="{cbddf8e8-6e72-4e9d-9987-70e3c3f5ccde}" ma:internalName="CustomSurnameGroupMgr0" ma:readOnly="false" ma:showField="Title" ma:web="0b29d19c-4397-4966-8390-24542e2f9528">
      <xsd:simpleType>
        <xsd:restriction base="dms:Unknown"/>
      </xsd:simpleType>
    </xsd:element>
    <xsd:element name="CustomSurnameChiefSpec" ma:index="10" nillable="true" ma:displayName="Фамилия главного специалиста" ma:list="{cbddf8e8-6e72-4e9d-9987-70e3c3f5ccde}" ma:internalName="CustomSurnameChiefSpec0" ma:readOnly="false" ma:showField="Title" ma:web="0b29d19c-4397-4966-8390-24542e2f9528">
      <xsd:simpleType>
        <xsd:restriction base="dms:Unknown"/>
      </xsd:simpleType>
    </xsd:element>
    <xsd:element name="CustomSurnameControler" ma:index="11" nillable="true" ma:displayName="Фамилия нормоконтролера" ma:list="{cbddf8e8-6e72-4e9d-9987-70e3c3f5ccde}" ma:internalName="CustomSurnameControler" ma:readOnly="false" ma:showField="Title" ma:web="0b29d19c-4397-4966-8390-24542e2f9528">
      <xsd:simpleType>
        <xsd:restriction base="dms:Unknown"/>
      </xsd:simpleType>
    </xsd:element>
    <xsd:element name="CustomHoD" ma:index="12" nillable="true" ma:displayName="Фамилия начальника отдела" ma:list="{cbddf8e8-6e72-4e9d-9987-70e3c3f5ccde}" ma:internalName="CustomHoD0" ma:showField="Title" ma:web="0b29d19c-4397-4966-8390-24542e2f9528">
      <xsd:simpleType>
        <xsd:restriction base="dms:Unknown"/>
      </xsd:simpleType>
    </xsd:element>
    <xsd:element name="CustomStartDatePlan" ma:index="13" nillable="true" ma:displayName="Дата начала(план)" ma:format="DateOnly" ma:internalName="CustomStartDatePlan" ma:readOnly="false">
      <xsd:simpleType>
        <xsd:restriction base="dms:DateTime"/>
      </xsd:simpleType>
    </xsd:element>
    <xsd:element name="CustomStartDateFact" ma:index="14" nillable="true" ma:displayName="Дата начала (факт.)" ma:format="DateOnly" ma:internalName="CustomStartDateFact" ma:readOnly="false">
      <xsd:simpleType>
        <xsd:restriction base="dms:DateTime"/>
      </xsd:simpleType>
    </xsd:element>
    <xsd:element name="CustomFinishDatePlan" ma:index="15" nillable="true" ma:displayName="Дата завершения(план.)" ma:format="DateOnly" ma:internalName="CustomFinishDatePlan" ma:readOnly="false">
      <xsd:simpleType>
        <xsd:restriction base="dms:DateTime"/>
      </xsd:simpleType>
    </xsd:element>
    <xsd:element name="CustomFinishDateFact" ma:index="16" nillable="true" ma:displayName="Дата завершения(факт)" ma:format="DateOnly" ma:internalName="CustomFinishDateFact" ma:readOnly="false">
      <xsd:simpleType>
        <xsd:restriction base="dms:DateTime"/>
      </xsd:simpleType>
    </xsd:element>
    <xsd:element name="CustomWorkCosts" ma:index="17" nillable="true" ma:displayName="Трудозатраты" ma:internalName="CustomWorkCosts" ma:readOnly="false" ma:percentage="FALSE">
      <xsd:simpleType>
        <xsd:restriction base="dms:Number"/>
      </xsd:simpleType>
    </xsd:element>
    <xsd:element name="VitroProjectName" ma:index="19" nillable="true" ma:displayName="Название проекта" ma:description="Название текущего проекта" ma:hidden="true" ma:internalName="VitroProjectName" ma:readOnly="false">
      <xsd:simpleType>
        <xsd:restriction base="dms:Unknown"/>
      </xsd:simpleType>
    </xsd:element>
    <xsd:element name="VitroProjectBuildingBuildObject" ma:index="20" nillable="true" ma:displayName="Строительный объект проекта" ma:description="Текущий строительный объект проекта" ma:hidden="true" ma:internalName="VitroProjectBuildingBuildObject" ma:readOnly="false">
      <xsd:simpleType>
        <xsd:restriction base="dms:Unknown"/>
      </xsd:simpleType>
    </xsd:element>
    <xsd:element name="VitroProjectDocumentBuilding" ma:index="21" nillable="true" ma:displayName="Сооружение" ma:description="Текущее Сооружение" ma:hidden="true" ma:internalName="VitroProjectDocumentBuilding" ma:readOnly="false">
      <xsd:simpleType>
        <xsd:restriction base="dms:Unknown"/>
      </xsd:simpleType>
    </xsd:element>
    <xsd:element name="VitroProjectDocumentArchiveDataIn" ma:index="22" nillable="true" ma:displayName="Дата поступления в архив" ma:format="DateOnly" ma:hidden="true" ma:internalName="VitroProjectDocumentArchiveDataIn" ma:readOnly="false">
      <xsd:simpleType>
        <xsd:restriction base="dms:DateTime"/>
      </xsd:simpleType>
    </xsd:element>
    <xsd:element name="testtest" ma:index="27" nillable="true" ma:displayName="testtest" ma:internalName="testtest">
      <xsd:simpleType>
        <xsd:restriction base="dms:Text">
          <xsd:maxLength value="255"/>
        </xsd:restriction>
      </xsd:simpleType>
    </xsd:element>
    <xsd:element name="VitroProjectDocumentArchiveForm" ma:index="28" nillable="true" ma:displayName="Форма носителя" ma:hidden="true" ma:list="{e5ceabce-5fb1-4044-8ab5-69cdb60867eb}" ma:internalName="VitroProjectDocumentArchiveForm" ma:readOnly="false" ma:showField="Title" ma:web="0b29d19c-4397-4966-8390-24542e2f9528">
      <xsd:simpleType>
        <xsd:restriction base="dms:Lookup"/>
      </xsd:simpleType>
    </xsd:element>
    <xsd:element name="VitroProjectDocumentType" ma:index="33" nillable="true" ma:displayName="Тип документа" ma:description="Тип документа" ma:hidden="true" ma:list="{163dbe38-0ffb-4427-a0a8-00f472ac99b7}" ma:internalName="VitroProjectDocumentType" ma:readOnly="false" ma:showField="Title" ma:web="0b29d19c-4397-4966-8390-24542e2f9528">
      <xsd:simpleType>
        <xsd:restriction base="dms:Unknown"/>
      </xsd:simpleType>
    </xsd:element>
    <xsd:element name="CustomCalcMainCode" ma:index="34" nillable="true" ma:displayName="Осн.шифр" ma:internalName="CustomCalcMainCode" ma:readOnly="false">
      <xsd:simpleType>
        <xsd:restriction base="dms:Unknown"/>
      </xsd:simpleType>
    </xsd:element>
    <xsd:element name="SharedWithUsers" ma:index="35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itroBaseDocumentStatus" ma:index="36" nillable="true" ma:displayName="Статус документа" ma:list="{b69ea51c-6dd6-42c9-a79b-b5e4b7b57e95}" ma:internalName="VitroBaseDocumentStatus" ma:showField="Title" ma:web="0b29d19c-4397-4966-8390-24542e2f9528">
      <xsd:simpleType>
        <xsd:restriction base="dms:Unknown"/>
      </xsd:simpleType>
    </xsd:element>
    <xsd:element name="VitroBaseDocumentRevisionCode" ma:index="37" nillable="true" ma:displayName="Код ревизии" ma:list="{a4177d2c-49af-4ea7-84b5-86215d60c7f5}" ma:internalName="VitroBaseDocumentRevisionCode" ma:readOnly="false" ma:showField="Title" ma:web="0b29d19c-4397-4966-8390-24542e2f9528">
      <xsd:simpleType>
        <xsd:restriction base="dms:Unknown"/>
      </xsd:simpleType>
    </xsd:element>
    <xsd:element name="VitroBaseDocumentCorrectNumber" ma:index="38" nillable="true" ma:displayName="№ изменения" ma:internalName="VitroBaseDocumentCorrectNumber" ma:readOnly="false" ma:percentage="FALSE">
      <xsd:simpleType>
        <xsd:restriction base="dms:Number"/>
      </xsd:simpleType>
    </xsd:element>
    <xsd:element name="VitroBaseDocumentRevision" ma:index="39" nillable="true" ma:displayName="Ревизия" ma:internalName="VitroBaseDocumentRevision" ma:readOnly="false">
      <xsd:simpleType>
        <xsd:restriction base="dms:Unknown"/>
      </xsd:simpleType>
    </xsd:element>
    <xsd:element name="VitroBaseInventoryNumber" ma:index="40" nillable="true" ma:displayName="Инвентарный номер" ma:internalName="VitroBaseInventoryNumber">
      <xsd:simpleType>
        <xsd:restriction base="dms:Text">
          <xsd:maxLength value="255"/>
        </xsd:restriction>
      </xsd:simpleType>
    </xsd:element>
    <xsd:element name="VitroBaseLast_x0020_UploadData" ma:index="42" nillable="true" ma:displayName="Дата последней выгрузки" ma:format="DateOnly" ma:internalName="VitroBaseLast_x0020_UploadData" ma:readOnly="false">
      <xsd:simpleType>
        <xsd:restriction base="dms:DateTime"/>
      </xsd:simpleType>
    </xsd:element>
    <xsd:element name="VitroBaseDocumentSheetPackage" ma:index="43" nillable="true" ma:displayName="Раздел" ma:internalName="VitroBaseDocumentSheetPackage" ma:readOnly="false">
      <xsd:simpleType>
        <xsd:restriction base="dms:Unknown"/>
      </xsd:simpleType>
    </xsd:element>
    <xsd:element name="VitroPublishName" ma:index="44" nillable="true" ma:displayName="Имя для выпуска" ma:internalName="VitroPublishName" ma:readOnly="false">
      <xsd:simpleType>
        <xsd:restriction base="dms:Unknown"/>
      </xsd:simpleType>
    </xsd:element>
    <xsd:element name="VitroBaseReleaseTimeStamp" ma:index="45" nillable="true" ma:displayName="Дата выпуска" ma:format="DateOnly" ma:internalName="VitroBaseReleaseTimeStamp" ma:readOnly="false">
      <xsd:simpleType>
        <xsd:restriction base="dms:DateTime"/>
      </xsd:simpleType>
    </xsd:element>
    <xsd:element name="VitroBaseReleaseInit" ma:index="46" nillable="true" ma:displayName="Инициатор выпуска" ma:list="{cbddf8e8-6e72-4e9d-9987-70e3c3f5ccde}" ma:internalName="VitroBaseReleaseInit" ma:readOnly="false" ma:showField="Title" ma:web="0b29d19c-4397-4966-8390-24542e2f9528">
      <xsd:simpleType>
        <xsd:restriction base="dms:Lookup"/>
      </xsd:simpleType>
    </xsd:element>
    <xsd:element name="VitroBaseReleaseInit_x003a_Название" ma:index="47" nillable="true" ma:displayName="VitroBaseReleaseInit:Название" ma:list="{cbddf8e8-6e72-4e9d-9987-70e3c3f5ccde}" ma:internalName="VitroBaseReleaseInit_x003A__x041d__x0430__x0437__x0432__x0430__x043d__x0438__x0435_" ma:readOnly="true" ma:showField="Title" ma:web="0b29d19c-4397-4966-8390-24542e2f9528">
      <xsd:simpleType>
        <xsd:restriction base="dms:Lookup"/>
      </xsd:simpleType>
    </xsd:element>
    <xsd:element name="VitroBaseDocumentReleaseLink" ma:index="48" nillable="true" ma:displayName="Пакет (ссылка)" ma:format="Hyperlink" ma:internalName="VitroBaseDocumentReleaseLink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5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4" ma:displayName="Тип контента"/>
        <xsd:element ref="dc:title" minOccurs="0" maxOccurs="1" ma:index="32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9E470D-55F7-4C08-844B-F913ADDB8B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91EAB1-82DF-4519-9ED2-9B56564DF7AB}">
  <ds:schemaRefs>
    <ds:schemaRef ds:uri="http://purl.org/dc/elements/1.1/"/>
    <ds:schemaRef ds:uri="http://schemas.openxmlformats.org/package/2006/metadata/core-properties"/>
    <ds:schemaRef ds:uri="http://purl.org/dc/terms/"/>
    <ds:schemaRef ds:uri="0b29d19c-4397-4966-8390-24542e2f9528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microsoft.com/sharepoint/v4"/>
    <ds:schemaRef ds:uri="http://schemas.microsoft.com/sharepoint/v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A01AF20-3F8F-4C08-B4FD-36AF91F36D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b29d19c-4397-4966-8390-24542e2f9528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70</vt:i4>
      </vt:variant>
    </vt:vector>
  </HeadingPairs>
  <TitlesOfParts>
    <vt:vector size="74" baseType="lpstr">
      <vt:lpstr>Начало</vt:lpstr>
      <vt:lpstr>Реквизиты</vt:lpstr>
      <vt:lpstr>Данные</vt:lpstr>
      <vt:lpstr>Печать</vt:lpstr>
      <vt:lpstr>VC_ГИП</vt:lpstr>
      <vt:lpstr>VC_ГЛСПЕЦ</vt:lpstr>
      <vt:lpstr>VC_ЗАКАЗЧИК</vt:lpstr>
      <vt:lpstr>VC_НАИМЕНОВАНИЕПРОЕКТА</vt:lpstr>
      <vt:lpstr>VC_НАИМЕНОВАНИЕЧЕРТЕЖА</vt:lpstr>
      <vt:lpstr>VC_НАЧОТД</vt:lpstr>
      <vt:lpstr>VC_НКОНТР</vt:lpstr>
      <vt:lpstr>VC_РАЗРАБОТАЛ</vt:lpstr>
      <vt:lpstr>VC_РЕВИЗИЯ</vt:lpstr>
      <vt:lpstr>VC_РУКГРУППЫ</vt:lpstr>
      <vt:lpstr>VC_СТАДИЯ</vt:lpstr>
      <vt:lpstr>VC_ШИФР2</vt:lpstr>
      <vt:lpstr>Реквизиты!БШ_ГИП</vt:lpstr>
      <vt:lpstr>Реквизиты!БШ_ГлСпец</vt:lpstr>
      <vt:lpstr>Реквизиты!БШ_ДокИмя</vt:lpstr>
      <vt:lpstr>Реквизиты!БШ_ДокШифр</vt:lpstr>
      <vt:lpstr>Реквизиты!БШ_ЗаказчикИмя</vt:lpstr>
      <vt:lpstr>Реквизиты!БШ_Изм1</vt:lpstr>
      <vt:lpstr>Реквизиты!БШ_Изм2</vt:lpstr>
      <vt:lpstr>Реквизиты!БШ_Изм3</vt:lpstr>
      <vt:lpstr>Реквизиты!БШ_Изм4</vt:lpstr>
      <vt:lpstr>Реквизиты!БШ_ИзмДата1</vt:lpstr>
      <vt:lpstr>Реквизиты!БШ_ИзмДата2</vt:lpstr>
      <vt:lpstr>Реквизиты!БШ_ИзмДата3</vt:lpstr>
      <vt:lpstr>Реквизиты!БШ_ИзмДата4</vt:lpstr>
      <vt:lpstr>Реквизиты!БШ_ИзмДок1</vt:lpstr>
      <vt:lpstr>Реквизиты!БШ_ИзмДок2</vt:lpstr>
      <vt:lpstr>Реквизиты!БШ_ИзмДок3</vt:lpstr>
      <vt:lpstr>Реквизиты!БШ_ИзмДок4</vt:lpstr>
      <vt:lpstr>Реквизиты!БШ_ИзмКол1</vt:lpstr>
      <vt:lpstr>Реквизиты!БШ_ИзмКол2</vt:lpstr>
      <vt:lpstr>Реквизиты!БШ_ИзмКол3</vt:lpstr>
      <vt:lpstr>Реквизиты!БШ_ИзмКол4</vt:lpstr>
      <vt:lpstr>Реквизиты!БШ_ИзмЛист1</vt:lpstr>
      <vt:lpstr>Реквизиты!БШ_ИзмЛист2</vt:lpstr>
      <vt:lpstr>Реквизиты!БШ_ИзмЛист3</vt:lpstr>
      <vt:lpstr>Реквизиты!БШ_ИзмЛист4</vt:lpstr>
      <vt:lpstr>Реквизиты!БШ_ИзмПодп1</vt:lpstr>
      <vt:lpstr>Реквизиты!БШ_ИзмПодп2</vt:lpstr>
      <vt:lpstr>Реквизиты!БШ_ИзмПодп3</vt:lpstr>
      <vt:lpstr>Реквизиты!БШ_ИзмПодп4</vt:lpstr>
      <vt:lpstr>Реквизиты!БШ_Компания1Название</vt:lpstr>
      <vt:lpstr>Реквизиты!БШ_Лист</vt:lpstr>
      <vt:lpstr>Реквизиты!БШ_Листов</vt:lpstr>
      <vt:lpstr>Реквизиты!БШ_НачОтд</vt:lpstr>
      <vt:lpstr>Реквизиты!БШ_Нконтр</vt:lpstr>
      <vt:lpstr>Реквизиты!БШ_Подпись1Дата</vt:lpstr>
      <vt:lpstr>Реквизиты!БШ_Подпись1Роль</vt:lpstr>
      <vt:lpstr>Реквизиты!БШ_Подпись2Дата</vt:lpstr>
      <vt:lpstr>Реквизиты!БШ_Подпись2Роль</vt:lpstr>
      <vt:lpstr>Реквизиты!БШ_Подпись3Дата</vt:lpstr>
      <vt:lpstr>Реквизиты!БШ_Подпись3Роль</vt:lpstr>
      <vt:lpstr>Реквизиты!БШ_Подпись4Дата</vt:lpstr>
      <vt:lpstr>Реквизиты!БШ_Подпись4Роль</vt:lpstr>
      <vt:lpstr>Реквизиты!БШ_Подпись5Дата</vt:lpstr>
      <vt:lpstr>Реквизиты!БШ_Подпись5Роль</vt:lpstr>
      <vt:lpstr>Реквизиты!БШ_Подпись6Дата</vt:lpstr>
      <vt:lpstr>Реквизиты!БШ_Подпись6Роль</vt:lpstr>
      <vt:lpstr>Реквизиты!БШ_ПроектИмя</vt:lpstr>
      <vt:lpstr>Реквизиты!БШ_Разраб</vt:lpstr>
      <vt:lpstr>Реквизиты!БШ_Ревизия</vt:lpstr>
      <vt:lpstr>Реквизиты!БШ_РукГруп</vt:lpstr>
      <vt:lpstr>Реквизиты!БШ_Стадия</vt:lpstr>
      <vt:lpstr>Печать!Заголовки_для_печати</vt:lpstr>
      <vt:lpstr>Реквизиты!МШ_ДокШифр</vt:lpstr>
      <vt:lpstr>Реквизиты!МШ_Лист</vt:lpstr>
      <vt:lpstr>Реквизиты!МШ_Ревизия</vt:lpstr>
      <vt:lpstr>Печать!Область_печати</vt:lpstr>
      <vt:lpstr>Параметры_РевизияВкл</vt:lpstr>
      <vt:lpstr>Данные!ТаблицаВедомость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Родин</dc:creator>
  <cp:lastModifiedBy>Лина</cp:lastModifiedBy>
  <cp:lastPrinted>2019-10-26T04:53:32Z</cp:lastPrinted>
  <dcterms:created xsi:type="dcterms:W3CDTF">2013-08-14T04:17:18Z</dcterms:created>
  <dcterms:modified xsi:type="dcterms:W3CDTF">2020-02-21T16:38:35Z</dcterms:modified>
  <cp:version>2.01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Страниц в спецификации">
    <vt:lpwstr>0</vt:lpwstr>
  </property>
  <property fmtid="{D5CDD505-2E9C-101B-9397-08002B2CF9AE}" pid="3" name="ContentTypeId">
    <vt:lpwstr>0x010100D1086C54FB23B84C883E396A613013260061EAC7C52AC55A479634C43AE1823D35</vt:lpwstr>
  </property>
</Properties>
</file>